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920" yWindow="1815" windowWidth="21600" windowHeight="11295" tabRatio="500" firstSheet="1" activeTab="5" autoFilterDateGrouping="1"/>
  </bookViews>
  <sheets>
    <sheet xmlns:r="http://schemas.openxmlformats.org/officeDocument/2006/relationships" name="Dashboard" sheetId="1" state="visible" r:id="rId1"/>
    <sheet xmlns:r="http://schemas.openxmlformats.org/officeDocument/2006/relationships" name="Trade Log" sheetId="2" state="visible" r:id="rId2"/>
    <sheet xmlns:r="http://schemas.openxmlformats.org/officeDocument/2006/relationships" name="Rules" sheetId="3" state="visible" r:id="rId3"/>
    <sheet xmlns:r="http://schemas.openxmlformats.org/officeDocument/2006/relationships" name="Daily Notes" sheetId="4" state="visible" r:id="rId4"/>
    <sheet xmlns:r="http://schemas.openxmlformats.org/officeDocument/2006/relationships" name="Bearish Paper" sheetId="5" state="visible" r:id="rId5"/>
    <sheet xmlns:r="http://schemas.openxmlformats.org/officeDocument/2006/relationships" name="B+ Skipped Setups" sheetId="6" state="visible" r:id="rId6"/>
  </sheets>
  <definedNames/>
  <calcPr calcId="191029" fullCalcOnLoad="1" iterateDelta="0.0001"/>
</workbook>
</file>

<file path=xl/styles.xml><?xml version="1.0" encoding="utf-8"?>
<styleSheet xmlns="http://schemas.openxmlformats.org/spreadsheetml/2006/main">
  <numFmts count="10">
    <numFmt numFmtId="164" formatCode="0.0%"/>
    <numFmt numFmtId="165" formatCode="\$#,##0.00;[Red]&quot;($&quot;#,##0.00\);\-"/>
    <numFmt numFmtId="166" formatCode="\$#,##0.00"/>
    <numFmt numFmtId="167" formatCode="0.00\R"/>
    <numFmt numFmtId="168" formatCode="\$#,##0.00;[Red]\(\$#,##0.00\);\-"/>
    <numFmt numFmtId="169" formatCode="0.00&quot;R&quot;"/>
    <numFmt numFmtId="170" formatCode="yyyy\-mm\-dd"/>
    <numFmt numFmtId="171" formatCode="hh:mm:ss"/>
    <numFmt numFmtId="172" formatCode="yyyy-mm-dd"/>
    <numFmt numFmtId="173" formatCode="yyyy-mm-dd h:mm:ss"/>
  </numFmts>
  <fonts count="20">
    <font>
      <name val="Calibri"/>
      <charset val="1"/>
      <family val="2"/>
      <color theme="1"/>
      <sz val="11"/>
    </font>
    <font>
      <name val="Calibri"/>
      <charset val="1"/>
      <b val="1"/>
      <color rgb="FF1F3864"/>
      <sz val="18"/>
    </font>
    <font>
      <name val="Calibri"/>
      <charset val="1"/>
      <i val="1"/>
      <color rgb="FF595959"/>
      <sz val="11"/>
    </font>
    <font>
      <name val="Calibri"/>
      <charset val="1"/>
      <b val="1"/>
      <color rgb="FFFFFFFF"/>
      <sz val="11"/>
    </font>
    <font>
      <name val="Calibri"/>
      <charset val="1"/>
      <b val="1"/>
      <color rgb="FFFFFFFF"/>
      <sz val="10"/>
    </font>
    <font>
      <name val="Calibri"/>
      <charset val="1"/>
      <b val="1"/>
      <color rgb="FF006100"/>
      <sz val="10"/>
    </font>
    <font>
      <name val="Calibri"/>
      <charset val="1"/>
      <b val="1"/>
      <color rgb="FF9C0006"/>
      <sz val="10"/>
    </font>
    <font>
      <name val="Calibri"/>
      <charset val="1"/>
      <sz val="10"/>
    </font>
    <font>
      <name val="Calibri"/>
      <charset val="1"/>
      <b val="1"/>
      <color rgb="FF1F3864"/>
      <sz val="16"/>
    </font>
    <font>
      <name val="Calibri"/>
      <charset val="1"/>
      <b val="1"/>
      <sz val="11"/>
    </font>
    <font>
      <name val="Calibri"/>
      <charset val="1"/>
      <b val="1"/>
      <color rgb="FF6F2C91"/>
      <sz val="14"/>
    </font>
    <font>
      <name val="Calibri"/>
      <charset val="1"/>
      <i val="1"/>
      <color rgb="FF595959"/>
      <sz val="10"/>
    </font>
    <font>
      <name val="Calibri"/>
      <charset val="1"/>
      <b val="1"/>
      <sz val="10"/>
    </font>
    <font>
      <name val="Calibri"/>
      <sz val="10"/>
    </font>
    <font>
      <name val="Calibri"/>
      <b val="1"/>
      <color rgb="FF9C0006"/>
      <sz val="10"/>
    </font>
    <font>
      <name val="Calibri"/>
      <family val="2"/>
      <b val="1"/>
      <color theme="1"/>
      <sz val="11"/>
    </font>
    <font>
      <name val="Calibri"/>
      <family val="2"/>
      <b val="1"/>
      <color theme="1"/>
      <sz val="14"/>
    </font>
    <font>
      <name val="Calibri"/>
      <family val="2"/>
      <i val="1"/>
      <color theme="1"/>
      <sz val="11"/>
    </font>
    <font>
      <b val="1"/>
      <color rgb="FF006100"/>
    </font>
    <font>
      <b val="1"/>
      <color rgb="FF9C0006"/>
    </font>
  </fonts>
  <fills count="20">
    <fill>
      <patternFill/>
    </fill>
    <fill>
      <patternFill patternType="gray125"/>
    </fill>
    <fill>
      <patternFill patternType="solid">
        <fgColor rgb="FF1F3864"/>
        <bgColor rgb="FF333333"/>
      </patternFill>
    </fill>
    <fill>
      <patternFill patternType="solid">
        <fgColor rgb="FF4472C4"/>
        <bgColor rgb="FF0066CC"/>
      </patternFill>
    </fill>
    <fill>
      <patternFill patternType="solid">
        <fgColor rgb="FFF2F2F2"/>
        <bgColor rgb="FFF2E6FF"/>
      </patternFill>
    </fill>
    <fill>
      <patternFill patternType="solid">
        <fgColor rgb="FFC6EFCE"/>
        <bgColor rgb="FFE2EFDA"/>
      </patternFill>
    </fill>
    <fill>
      <patternFill patternType="solid">
        <fgColor rgb="FFFFC7CE"/>
        <bgColor rgb="FFF2E6FF"/>
      </patternFill>
    </fill>
    <fill>
      <patternFill patternType="solid">
        <fgColor rgb="FFE2EFDA"/>
        <bgColor rgb="FFF2F2F2"/>
      </patternFill>
    </fill>
    <fill>
      <patternFill patternType="solid">
        <fgColor rgb="FFD9E1F2"/>
        <bgColor rgb="FFE2EFDA"/>
      </patternFill>
    </fill>
    <fill>
      <patternFill patternType="solid">
        <fgColor rgb="FF6F2C91"/>
        <bgColor rgb="FF993366"/>
      </patternFill>
    </fill>
    <fill>
      <patternFill patternType="solid">
        <fgColor rgb="FFF2E6FF"/>
        <bgColor rgb="FFF2F2F2"/>
      </patternFill>
    </fill>
    <fill>
      <patternFill patternType="solid">
        <fgColor rgb="FF9966CC"/>
        <bgColor rgb="FF969696"/>
      </patternFill>
    </fill>
    <fill>
      <patternFill patternType="solid">
        <fgColor rgb="FFE2EFDA"/>
      </patternFill>
    </fill>
    <fill>
      <patternFill patternType="solid">
        <fgColor rgb="FFFFC7CE"/>
      </patternFill>
    </fill>
    <fill>
      <patternFill patternType="solid">
        <fgColor rgb="FFD9E1F2"/>
      </patternFill>
    </fill>
    <fill>
      <patternFill patternType="solid">
        <fgColor rgb="FF9BC2E6"/>
        <bgColor indexed="64"/>
      </patternFill>
    </fill>
    <fill>
      <patternFill patternType="solid">
        <fgColor rgb="FFE2EFDA"/>
        <bgColor rgb="FFE2EFDA"/>
      </patternFill>
    </fill>
    <fill>
      <patternFill patternType="solid">
        <fgColor rgb="FFC6EFCE"/>
        <bgColor rgb="FFC6EFCE"/>
      </patternFill>
    </fill>
    <fill>
      <patternFill patternType="solid">
        <fgColor rgb="FFD9E1F2"/>
        <bgColor rgb="FFD9E1F2"/>
      </patternFill>
    </fill>
    <fill>
      <patternFill patternType="solid">
        <fgColor rgb="FFFFC7CE"/>
        <bgColor rgb="FFFFC7CE"/>
      </patternFill>
    </fill>
  </fills>
  <borders count="6">
    <border>
      <left/>
      <right/>
      <top/>
      <bottom/>
      <diagonal/>
    </border>
    <border>
      <left style="thin">
        <color rgb="FFB4B4B4"/>
      </left>
      <right style="thin">
        <color rgb="FFB4B4B4"/>
      </right>
      <top style="thin">
        <color rgb="FFB4B4B4"/>
      </top>
      <bottom style="thin">
        <color rgb="FFB4B4B4"/>
      </bottom>
      <diagonal/>
    </border>
    <border>
      <left style="thin">
        <color rgb="FFB4B4B4"/>
      </left>
      <right/>
      <top style="thin">
        <color rgb="FFB4B4B4"/>
      </top>
      <bottom style="thin">
        <color rgb="FFB4B4B4"/>
      </bottom>
      <diagonal/>
    </border>
    <border>
      <left/>
      <right/>
      <top style="thin">
        <color rgb="FFB4B4B4"/>
      </top>
      <bottom style="thin">
        <color rgb="FFB4B4B4"/>
      </bottom>
      <diagonal/>
    </border>
    <border>
      <left style="thin">
        <color rgb="FFB4B4B4"/>
      </left>
      <right style="thin">
        <color rgb="FFB4B4B4"/>
      </right>
      <top style="thin">
        <color rgb="FFB4B4B4"/>
      </top>
      <bottom style="thin">
        <color rgb="FFB4B4B4"/>
      </bottom>
      <diagonal/>
    </border>
    <border>
      <left/>
      <right/>
      <top style="thin">
        <color rgb="FFB4B4B4"/>
      </top>
      <bottom/>
      <diagonal/>
    </border>
  </borders>
  <cellStyleXfs count="1">
    <xf numFmtId="0" fontId="0" fillId="0" borderId="0"/>
  </cellStyleXfs>
  <cellXfs count="114">
    <xf numFmtId="0" fontId="0" fillId="0" borderId="0" pivotButton="0" quotePrefix="0" xfId="0"/>
    <xf numFmtId="0" fontId="0" fillId="0" borderId="1" pivotButton="0" quotePrefix="0" xfId="0"/>
    <xf numFmtId="164" fontId="0" fillId="0" borderId="1" pivotButton="0" quotePrefix="0" xfId="0"/>
    <xf numFmtId="165" fontId="0" fillId="0" borderId="1" pivotButton="0" quotePrefix="0" xfId="0"/>
    <xf numFmtId="166" fontId="0" fillId="0" borderId="1" pivotButton="0" quotePrefix="0" xfId="0"/>
    <xf numFmtId="167" fontId="0" fillId="0" borderId="1" pivotButton="0" quotePrefix="0" xfId="0"/>
    <xf numFmtId="2" fontId="0" fillId="0" borderId="1" pivotButton="0" quotePrefix="0" xfId="0"/>
    <xf numFmtId="0" fontId="4" fillId="3" borderId="1" applyAlignment="1" pivotButton="0" quotePrefix="0" xfId="0">
      <alignment horizontal="center"/>
    </xf>
    <xf numFmtId="0" fontId="5" fillId="0" borderId="1" pivotButton="0" quotePrefix="0" xfId="0"/>
    <xf numFmtId="0" fontId="6" fillId="0" borderId="1" pivotButton="0" quotePrefix="0" xfId="0"/>
    <xf numFmtId="165" fontId="5" fillId="0" borderId="1" pivotButton="0" quotePrefix="0" xfId="0"/>
    <xf numFmtId="0" fontId="3" fillId="2" borderId="1" applyAlignment="1" pivotButton="0" quotePrefix="0" xfId="0">
      <alignment horizontal="center" vertical="center" wrapText="1"/>
    </xf>
    <xf numFmtId="0" fontId="7" fillId="4" borderId="1" applyAlignment="1" pivotButton="0" quotePrefix="0" xfId="0">
      <alignment horizontal="center" vertical="center"/>
    </xf>
    <xf numFmtId="166" fontId="7" fillId="4" borderId="1" applyAlignment="1" pivotButton="0" quotePrefix="0" xfId="0">
      <alignment horizontal="center" vertical="center"/>
    </xf>
    <xf numFmtId="165" fontId="7" fillId="4" borderId="1" applyAlignment="1" pivotButton="0" quotePrefix="0" xfId="0">
      <alignment horizontal="center" vertical="center"/>
    </xf>
    <xf numFmtId="165" fontId="5" fillId="5" borderId="1" applyAlignment="1" pivotButton="0" quotePrefix="0" xfId="0">
      <alignment horizontal="center" vertical="center"/>
    </xf>
    <xf numFmtId="0" fontId="7" fillId="4" borderId="1" applyAlignment="1" pivotButton="0" quotePrefix="0" xfId="0">
      <alignment horizontal="center" vertical="center" wrapText="1"/>
    </xf>
    <xf numFmtId="165" fontId="6" fillId="6" borderId="1" applyAlignment="1" pivotButton="0" quotePrefix="0" xfId="0">
      <alignment horizontal="center" vertical="center"/>
    </xf>
    <xf numFmtId="0" fontId="7" fillId="7" borderId="1" applyAlignment="1" pivotButton="0" quotePrefix="0" xfId="0">
      <alignment horizontal="center" vertical="center"/>
    </xf>
    <xf numFmtId="166" fontId="7" fillId="7" borderId="1" applyAlignment="1" pivotButton="0" quotePrefix="0" xfId="0">
      <alignment horizontal="center" vertical="center"/>
    </xf>
    <xf numFmtId="165" fontId="7" fillId="7" borderId="1" applyAlignment="1" pivotButton="0" quotePrefix="0" xfId="0">
      <alignment horizontal="center" vertical="center"/>
    </xf>
    <xf numFmtId="167" fontId="7" fillId="7" borderId="1" applyAlignment="1" pivotButton="0" quotePrefix="0" xfId="0">
      <alignment horizontal="center" vertical="center"/>
    </xf>
    <xf numFmtId="0" fontId="7" fillId="7" borderId="1" applyAlignment="1" pivotButton="0" quotePrefix="0" xfId="0">
      <alignment horizontal="center" vertical="center" wrapText="1"/>
    </xf>
    <xf numFmtId="0" fontId="7" fillId="8" borderId="1" applyAlignment="1" pivotButton="0" quotePrefix="0" xfId="0">
      <alignment horizontal="center" vertical="center"/>
    </xf>
    <xf numFmtId="0" fontId="7" fillId="8" borderId="1" applyAlignment="1" pivotButton="0" quotePrefix="0" xfId="0">
      <alignment horizontal="center" vertical="center" wrapText="1"/>
    </xf>
    <xf numFmtId="0" fontId="0" fillId="0" borderId="0" applyAlignment="1" pivotButton="0" quotePrefix="0" xfId="0">
      <alignment vertical="center" wrapText="1"/>
    </xf>
    <xf numFmtId="0" fontId="3" fillId="2" borderId="0" pivotButton="0" quotePrefix="0" xfId="0"/>
    <xf numFmtId="0" fontId="3" fillId="2" borderId="0" applyAlignment="1" pivotButton="0" quotePrefix="0" xfId="0">
      <alignment vertical="center" wrapText="1"/>
    </xf>
    <xf numFmtId="0" fontId="9" fillId="0" borderId="0" applyAlignment="1" pivotButton="0" quotePrefix="0" xfId="0">
      <alignment horizontal="center"/>
    </xf>
    <xf numFmtId="0" fontId="7" fillId="0" borderId="1" applyAlignment="1" pivotButton="0" quotePrefix="0" xfId="0">
      <alignment horizontal="center" vertical="top" wrapText="1"/>
    </xf>
    <xf numFmtId="165" fontId="6" fillId="6" borderId="1" applyAlignment="1" pivotButton="0" quotePrefix="0" xfId="0">
      <alignment horizontal="center" vertical="top" wrapText="1"/>
    </xf>
    <xf numFmtId="0" fontId="7" fillId="0" borderId="1" applyAlignment="1" pivotButton="0" quotePrefix="0" xfId="0">
      <alignment horizontal="left" vertical="top" wrapText="1"/>
    </xf>
    <xf numFmtId="165" fontId="5" fillId="5" borderId="1" applyAlignment="1" pivotButton="0" quotePrefix="0" xfId="0">
      <alignment horizontal="center" vertical="top" wrapText="1"/>
    </xf>
    <xf numFmtId="0" fontId="7" fillId="8" borderId="1" applyAlignment="1" pivotButton="0" quotePrefix="0" xfId="0">
      <alignment horizontal="center" vertical="top" wrapText="1"/>
    </xf>
    <xf numFmtId="165" fontId="7" fillId="8" borderId="1" applyAlignment="1" pivotButton="0" quotePrefix="0" xfId="0">
      <alignment horizontal="center" vertical="top" wrapText="1"/>
    </xf>
    <xf numFmtId="0" fontId="7" fillId="8" borderId="1" applyAlignment="1" pivotButton="0" quotePrefix="0" xfId="0">
      <alignment horizontal="left" vertical="top" wrapText="1"/>
    </xf>
    <xf numFmtId="0" fontId="3" fillId="9"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xf>
    <xf numFmtId="0" fontId="7" fillId="10" borderId="1" applyAlignment="1" pivotButton="0" quotePrefix="0" xfId="0">
      <alignment horizontal="center" vertical="center" wrapText="1"/>
    </xf>
    <xf numFmtId="0" fontId="12" fillId="10" borderId="1" applyAlignment="1" pivotButton="0" quotePrefix="0" xfId="0">
      <alignment horizontal="left"/>
    </xf>
    <xf numFmtId="0" fontId="0" fillId="10" borderId="1" applyAlignment="1" pivotButton="0" quotePrefix="0" xfId="0">
      <alignment horizontal="center"/>
    </xf>
    <xf numFmtId="165" fontId="0" fillId="10" borderId="1" applyAlignment="1" pivotButton="0" quotePrefix="0" xfId="0">
      <alignment horizontal="center"/>
    </xf>
    <xf numFmtId="164" fontId="0" fillId="10" borderId="1" applyAlignment="1" pivotButton="0" quotePrefix="0" xfId="0">
      <alignment horizontal="center"/>
    </xf>
    <xf numFmtId="0" fontId="13" fillId="12" borderId="4" applyAlignment="1" pivotButton="0" quotePrefix="0" xfId="0">
      <alignment horizontal="center" vertical="center"/>
    </xf>
    <xf numFmtId="166" fontId="13" fillId="12" borderId="4" applyAlignment="1" pivotButton="0" quotePrefix="0" xfId="0">
      <alignment horizontal="center" vertical="center"/>
    </xf>
    <xf numFmtId="168" fontId="14" fillId="13" borderId="4" applyAlignment="1" pivotButton="0" quotePrefix="0" xfId="0">
      <alignment horizontal="center" vertical="center"/>
    </xf>
    <xf numFmtId="169" fontId="13" fillId="12" borderId="4" applyAlignment="1" pivotButton="0" quotePrefix="0" xfId="0">
      <alignment horizontal="center" vertical="center"/>
    </xf>
    <xf numFmtId="0" fontId="13" fillId="12" borderId="4" applyAlignment="1" pivotButton="0" quotePrefix="0" xfId="0">
      <alignment horizontal="center" vertical="center" wrapText="1"/>
    </xf>
    <xf numFmtId="0" fontId="13" fillId="14" borderId="4" applyAlignment="1" pivotButton="0" quotePrefix="0" xfId="0">
      <alignment horizontal="center" vertical="top" wrapText="1"/>
    </xf>
    <xf numFmtId="168" fontId="14" fillId="13" borderId="4" applyAlignment="1" pivotButton="0" quotePrefix="0" xfId="0">
      <alignment horizontal="center" vertical="top" wrapText="1"/>
    </xf>
    <xf numFmtId="0" fontId="13" fillId="14" borderId="4" applyAlignment="1" pivotButton="0" quotePrefix="0" xfId="0">
      <alignment horizontal="left" vertical="top" wrapText="1"/>
    </xf>
    <xf numFmtId="170" fontId="0" fillId="0" borderId="0" pivotButton="0" quotePrefix="0" xfId="0"/>
    <xf numFmtId="0" fontId="3" fillId="2" borderId="2" applyAlignment="1" pivotButton="0" quotePrefix="0" xfId="0">
      <alignment horizontal="center"/>
    </xf>
    <xf numFmtId="0" fontId="0" fillId="0" borderId="3" pivotButton="0" quotePrefix="0" xfId="0"/>
    <xf numFmtId="0" fontId="2" fillId="0" borderId="0" applyAlignment="1" pivotButton="0" quotePrefix="0" xfId="0">
      <alignment horizontal="center"/>
    </xf>
    <xf numFmtId="0" fontId="0" fillId="0" borderId="0" pivotButton="0" quotePrefix="0" xfId="0"/>
    <xf numFmtId="0" fontId="1" fillId="0" borderId="0" applyAlignment="1" pivotButton="0" quotePrefix="0" xfId="0">
      <alignment horizontal="center" vertical="center"/>
    </xf>
    <xf numFmtId="0" fontId="3" fillId="2" borderId="0" applyAlignment="1" pivotButton="0" quotePrefix="0" xfId="0">
      <alignment horizontal="center"/>
    </xf>
    <xf numFmtId="0" fontId="2" fillId="0" borderId="0" pivotButton="0" quotePrefix="0" xfId="0"/>
    <xf numFmtId="0" fontId="8" fillId="0" borderId="0" pivotButton="0" quotePrefix="0" xfId="0"/>
    <xf numFmtId="0" fontId="4" fillId="11" borderId="0" pivotButton="0" quotePrefix="0" xfId="0"/>
    <xf numFmtId="0" fontId="10" fillId="0" borderId="0" applyAlignment="1" pivotButton="0" quotePrefix="0" xfId="0">
      <alignment horizontal="center" vertical="center"/>
    </xf>
    <xf numFmtId="0" fontId="11" fillId="0" borderId="0" applyAlignment="1" pivotButton="0" quotePrefix="0" xfId="0">
      <alignment horizontal="center"/>
    </xf>
    <xf numFmtId="0" fontId="3" fillId="9" borderId="0" applyAlignment="1" pivotButton="0" quotePrefix="0" xfId="0">
      <alignment horizontal="center"/>
    </xf>
    <xf numFmtId="171" fontId="0" fillId="0" borderId="0" pivotButton="0" quotePrefix="0" xfId="0"/>
    <xf numFmtId="0" fontId="16" fillId="0" borderId="0" applyAlignment="1" pivotButton="0" quotePrefix="0" xfId="0">
      <alignment horizontal="center"/>
    </xf>
    <xf numFmtId="0" fontId="0" fillId="0" borderId="0" applyAlignment="1" pivotButton="0" quotePrefix="0" xfId="0">
      <alignment horizontal="center"/>
    </xf>
    <xf numFmtId="0" fontId="17" fillId="0" borderId="0" pivotButton="0" quotePrefix="0" xfId="0"/>
    <xf numFmtId="0" fontId="15" fillId="15" borderId="0" pivotButton="0" quotePrefix="0" xfId="0"/>
    <xf numFmtId="20" fontId="0" fillId="0" borderId="0" pivotButton="0" quotePrefix="0" xfId="0"/>
    <xf numFmtId="0" fontId="0" fillId="0" borderId="0" applyAlignment="1" pivotButton="0" quotePrefix="0" xfId="0">
      <alignment wrapText="1"/>
    </xf>
    <xf numFmtId="0" fontId="3" fillId="2" borderId="4" applyAlignment="1" pivotButton="0" quotePrefix="0" xfId="0">
      <alignment horizontal="center" vertical="center" wrapText="1"/>
    </xf>
    <xf numFmtId="172" fontId="7" fillId="16" borderId="4" applyAlignment="1" pivotButton="0" quotePrefix="0" xfId="0">
      <alignment horizontal="center" vertical="center"/>
    </xf>
    <xf numFmtId="0" fontId="7" fillId="16" borderId="4" applyAlignment="1" pivotButton="0" quotePrefix="0" xfId="0">
      <alignment horizontal="center" vertical="center"/>
    </xf>
    <xf numFmtId="171" fontId="7" fillId="16" borderId="4" applyAlignment="1" pivotButton="0" quotePrefix="0" xfId="0">
      <alignment horizontal="center" vertical="center"/>
    </xf>
    <xf numFmtId="166" fontId="7" fillId="16" borderId="4" applyAlignment="1" pivotButton="0" quotePrefix="0" xfId="0">
      <alignment horizontal="center" vertical="center"/>
    </xf>
    <xf numFmtId="0" fontId="0" fillId="16" borderId="0" pivotButton="0" quotePrefix="0" xfId="0"/>
    <xf numFmtId="165" fontId="7" fillId="16" borderId="4" applyAlignment="1" pivotButton="0" quotePrefix="0" xfId="0">
      <alignment horizontal="center" vertical="center"/>
    </xf>
    <xf numFmtId="165" fontId="5" fillId="17" borderId="4" applyAlignment="1" pivotButton="0" quotePrefix="0" xfId="0">
      <alignment horizontal="center" vertical="center"/>
    </xf>
    <xf numFmtId="167" fontId="7" fillId="16" borderId="4" applyAlignment="1" pivotButton="0" quotePrefix="0" xfId="0">
      <alignment horizontal="center" vertical="center"/>
    </xf>
    <xf numFmtId="0" fontId="7" fillId="16" borderId="4" applyAlignment="1" pivotButton="0" quotePrefix="0" xfId="0">
      <alignment horizontal="center" vertical="center" wrapText="1"/>
    </xf>
    <xf numFmtId="172" fontId="7" fillId="18" borderId="4" applyAlignment="1" pivotButton="0" quotePrefix="0" xfId="0">
      <alignment horizontal="center" vertical="center"/>
    </xf>
    <xf numFmtId="0" fontId="7" fillId="18" borderId="4" applyAlignment="1" pivotButton="0" quotePrefix="0" xfId="0">
      <alignment horizontal="center" vertical="center"/>
    </xf>
    <xf numFmtId="171" fontId="7" fillId="18" borderId="4" applyAlignment="1" pivotButton="0" quotePrefix="0" xfId="0">
      <alignment horizontal="center" vertical="center"/>
    </xf>
    <xf numFmtId="0" fontId="0" fillId="18" borderId="0" pivotButton="0" quotePrefix="0" xfId="0"/>
    <xf numFmtId="0" fontId="7" fillId="18" borderId="4" applyAlignment="1" pivotButton="0" quotePrefix="0" xfId="0">
      <alignment horizontal="center" vertical="center" wrapText="1"/>
    </xf>
    <xf numFmtId="165" fontId="6" fillId="19" borderId="4" applyAlignment="1" pivotButton="0" quotePrefix="0" xfId="0">
      <alignment horizontal="center" vertical="center"/>
    </xf>
    <xf numFmtId="0" fontId="0" fillId="17" borderId="0" pivotButton="0" quotePrefix="0" xfId="0"/>
    <xf numFmtId="172" fontId="7" fillId="16" borderId="4" applyAlignment="1" pivotButton="0" quotePrefix="0" xfId="0">
      <alignment horizontal="center" vertical="center"/>
    </xf>
    <xf numFmtId="172" fontId="7" fillId="18" borderId="4" applyAlignment="1" pivotButton="0" quotePrefix="0" xfId="0">
      <alignment horizontal="center" vertical="center"/>
    </xf>
    <xf numFmtId="172" fontId="13" fillId="18" borderId="0" applyAlignment="1" pivotButton="0" quotePrefix="0" xfId="0">
      <alignment horizontal="center" vertical="center"/>
    </xf>
    <xf numFmtId="0" fontId="13" fillId="18" borderId="0" applyAlignment="1" pivotButton="0" quotePrefix="0" xfId="0">
      <alignment horizontal="center" vertical="center"/>
    </xf>
    <xf numFmtId="166" fontId="13" fillId="18" borderId="0" applyAlignment="1" pivotButton="0" quotePrefix="0" xfId="0">
      <alignment horizontal="center" vertical="center"/>
    </xf>
    <xf numFmtId="165" fontId="13" fillId="18" borderId="0" applyAlignment="1" pivotButton="0" quotePrefix="0" xfId="0">
      <alignment horizontal="center" vertical="center"/>
    </xf>
    <xf numFmtId="167" fontId="13" fillId="18" borderId="0" applyAlignment="1" pivotButton="0" quotePrefix="0" xfId="0">
      <alignment horizontal="center" vertical="center"/>
    </xf>
    <xf numFmtId="0" fontId="13" fillId="18" borderId="0" applyAlignment="1" pivotButton="0" quotePrefix="0" xfId="0">
      <alignment horizontal="center" vertical="center" wrapText="1"/>
    </xf>
    <xf numFmtId="172" fontId="0" fillId="0" borderId="0" pivotButton="0" quotePrefix="0" xfId="0"/>
    <xf numFmtId="165" fontId="18" fillId="17" borderId="4" applyAlignment="1" pivotButton="0" quotePrefix="0" xfId="0">
      <alignment horizontal="center" vertical="center"/>
    </xf>
    <xf numFmtId="165" fontId="19" fillId="19" borderId="4" applyAlignment="1" pivotButton="0" quotePrefix="0" xfId="0">
      <alignment horizontal="center" vertical="center"/>
    </xf>
    <xf numFmtId="173" fontId="7" fillId="10" borderId="4" applyAlignment="1" pivotButton="0" quotePrefix="0" xfId="0">
      <alignment horizontal="center" vertical="center"/>
    </xf>
    <xf numFmtId="0" fontId="7" fillId="10" borderId="4" applyAlignment="1" pivotButton="0" quotePrefix="0" xfId="0">
      <alignment horizontal="center" vertical="center"/>
    </xf>
    <xf numFmtId="166" fontId="7" fillId="10" borderId="4" applyAlignment="1" pivotButton="0" quotePrefix="0" xfId="0">
      <alignment horizontal="center" vertical="center"/>
    </xf>
    <xf numFmtId="165" fontId="5" fillId="5" borderId="4" applyAlignment="1" pivotButton="0" quotePrefix="0" xfId="0">
      <alignment horizontal="center" vertical="center"/>
    </xf>
    <xf numFmtId="0" fontId="7" fillId="10" borderId="4" applyAlignment="1" pivotButton="0" quotePrefix="0" xfId="0">
      <alignment horizontal="center" vertical="center" wrapText="1"/>
    </xf>
    <xf numFmtId="0" fontId="7" fillId="4" borderId="1" applyAlignment="1" pivotButton="0" quotePrefix="0" xfId="0">
      <alignment horizontal="center" vertical="top" wrapText="1"/>
    </xf>
    <xf numFmtId="0" fontId="0" fillId="0" borderId="0" applyAlignment="1" pivotButton="0" quotePrefix="0" xfId="0">
      <alignment vertical="top" wrapText="1"/>
    </xf>
    <xf numFmtId="0" fontId="7" fillId="7" borderId="1" applyAlignment="1" pivotButton="0" quotePrefix="0" xfId="0">
      <alignment horizontal="center" vertical="top" wrapText="1"/>
    </xf>
    <xf numFmtId="0" fontId="13" fillId="12" borderId="4" applyAlignment="1" pivotButton="0" quotePrefix="0" xfId="0">
      <alignment horizontal="center" vertical="top" wrapText="1"/>
    </xf>
    <xf numFmtId="0" fontId="7" fillId="16" borderId="4" applyAlignment="1" pivotButton="0" quotePrefix="0" xfId="0">
      <alignment horizontal="center" vertical="top" wrapText="1"/>
    </xf>
    <xf numFmtId="0" fontId="0" fillId="16" borderId="0" applyAlignment="1" pivotButton="0" quotePrefix="0" xfId="0">
      <alignment vertical="top" wrapText="1"/>
    </xf>
    <xf numFmtId="0" fontId="7" fillId="18" borderId="4" applyAlignment="1" pivotButton="0" quotePrefix="0" xfId="0">
      <alignment horizontal="center" vertical="top" wrapText="1"/>
    </xf>
    <xf numFmtId="0" fontId="0" fillId="18" borderId="0" applyAlignment="1" pivotButton="0" quotePrefix="0" xfId="0">
      <alignment vertical="top" wrapText="1"/>
    </xf>
    <xf numFmtId="0" fontId="13" fillId="18" borderId="0"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4B4B4"/>
      <rgbColor rgb="FF9966CC"/>
      <rgbColor rgb="FF9999FF"/>
      <rgbColor rgb="FF6F2C91"/>
      <rgbColor rgb="FFF2F2F2"/>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E6FF"/>
      <rgbColor rgb="FFC6EFCE"/>
      <rgbColor rgb="FFFFFF99"/>
      <rgbColor rgb="FF99CCFF"/>
      <rgbColor rgb="FFFF99CC"/>
      <rgbColor rgb="FFCC99FF"/>
      <rgbColor rgb="FFFFC7CE"/>
      <rgbColor rgb="FF4472C4"/>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zoomScaleNormal="100" workbookViewId="0">
      <selection activeCell="A1" sqref="A1:F1"/>
    </sheetView>
  </sheetViews>
  <sheetFormatPr baseColWidth="8" defaultColWidth="8.7109375" defaultRowHeight="15"/>
  <cols>
    <col width="22" customWidth="1" style="56" min="1" max="1"/>
    <col width="14" customWidth="1" style="56" min="2" max="2"/>
    <col width="22" customWidth="1" style="56" min="3" max="3"/>
    <col width="14" customWidth="1" style="56" min="4" max="4"/>
    <col width="18" customWidth="1" style="56" min="5" max="5"/>
    <col width="22" customWidth="1" style="56" min="6" max="6"/>
  </cols>
  <sheetData>
    <row r="1" ht="30" customHeight="1" s="56">
      <c r="A1" s="57" t="inlineStr">
        <is>
          <t>AARON'S TRADING DASHBOARD</t>
        </is>
      </c>
    </row>
    <row r="2" ht="15" customHeight="1" s="56">
      <c r="A2" s="55" t="inlineStr">
        <is>
          <t>20-Day Experiment: A+ Long Only — Strong Trend Conditions</t>
        </is>
      </c>
    </row>
    <row r="4" ht="15" customHeight="1" s="56">
      <c r="A4" s="58" t="inlineStr">
        <is>
          <t>20-DAY EXPERIMENT</t>
        </is>
      </c>
    </row>
    <row r="5" ht="15" customHeight="1" s="56">
      <c r="A5" s="1" t="inlineStr">
        <is>
          <t>Days Completed</t>
        </is>
      </c>
      <c r="B5" s="1">
        <f>COUNTIFS('Trade Log'!D:D,"Experiment Day*")</f>
        <v/>
      </c>
      <c r="C5" s="1" t="inlineStr">
        <is>
          <t>/ 20</t>
        </is>
      </c>
      <c r="D5" s="53" t="inlineStr">
        <is>
          <t>HISTORICAL (April Pre-Experiment)</t>
        </is>
      </c>
      <c r="E5" s="54" t="n"/>
      <c r="F5" s="54" t="n"/>
    </row>
    <row r="6" ht="15" customHeight="1" s="56">
      <c r="A6" s="1" t="inlineStr">
        <is>
          <t>Total Trades</t>
        </is>
      </c>
      <c r="B6" s="1">
        <f>COUNTIF('Trade Log'!D:D,"Experiment Day*")</f>
        <v/>
      </c>
      <c r="D6" s="1" t="inlineStr">
        <is>
          <t>Total Trades</t>
        </is>
      </c>
      <c r="E6" s="1">
        <f>COUNTIF('Trade Log'!D:D,"Historical")</f>
        <v/>
      </c>
    </row>
    <row r="7" ht="15" customHeight="1" s="56">
      <c r="A7" s="1" t="inlineStr">
        <is>
          <t>Winners (&gt;$5)</t>
        </is>
      </c>
      <c r="B7" s="1">
        <f>COUNTIFS('Trade Log'!D:D,"Experiment Day*",'Trade Log'!S:S,"&gt;5")</f>
        <v/>
      </c>
      <c r="D7" s="1" t="inlineStr">
        <is>
          <t>Win Rate</t>
        </is>
      </c>
      <c r="E7" s="2">
        <f>IFERROR(COUNTIFS('Trade Log'!D:D,"Historical",'Trade Log'!S:S,"&gt;5")/(COUNTIFS('Trade Log'!D:D,"Historical",'Trade Log'!S:S,"&gt;5")+COUNTIFS('Trade Log'!D:D,"Historical",'Trade Log'!S:S,"&lt;-5")),0)</f>
        <v/>
      </c>
    </row>
    <row r="8" ht="15" customHeight="1" s="56">
      <c r="A8" s="1" t="inlineStr">
        <is>
          <t>Losers (&lt;-$5)</t>
        </is>
      </c>
      <c r="B8" s="1">
        <f>COUNTIFS('Trade Log'!D:D,"Experiment Day*",'Trade Log'!S:S,"&lt;-5")</f>
        <v/>
      </c>
      <c r="D8" s="1" t="inlineStr">
        <is>
          <t>Total Net P/L</t>
        </is>
      </c>
      <c r="E8" s="3">
        <f>SUMIFS('Trade Log'!S:S,'Trade Log'!D:D,"Historical")</f>
        <v/>
      </c>
    </row>
    <row r="9" ht="15" customHeight="1" s="56">
      <c r="A9" s="1" t="inlineStr">
        <is>
          <t>Win Rate</t>
        </is>
      </c>
      <c r="B9" s="2">
        <f>IFERROR(B7/(B7+B8),0)</f>
        <v/>
      </c>
      <c r="D9" s="1" t="inlineStr">
        <is>
          <t>Avg Win</t>
        </is>
      </c>
      <c r="E9" s="4">
        <f>IFERROR(AVERAGEIFS('Trade Log'!S:S,'Trade Log'!D:D,"Historical",'Trade Log'!S:S,"&gt;5"),0)</f>
        <v/>
      </c>
    </row>
    <row r="10" ht="15" customHeight="1" s="56">
      <c r="A10" s="1" t="inlineStr">
        <is>
          <t>Total Net P/L</t>
        </is>
      </c>
      <c r="B10" s="3">
        <f>SUMIFS('Trade Log'!S:S,'Trade Log'!D:D,"Experiment Day*")</f>
        <v/>
      </c>
      <c r="D10" s="1" t="inlineStr">
        <is>
          <t>Avg Loss</t>
        </is>
      </c>
      <c r="E10" s="3">
        <f>IFERROR(AVERAGEIFS('Trade Log'!S:S,'Trade Log'!D:D,"Historical",'Trade Log'!S:S,"&lt;-5"),0)</f>
        <v/>
      </c>
    </row>
    <row r="11" ht="15" customHeight="1" s="56">
      <c r="A11" s="1" t="inlineStr">
        <is>
          <t>Avg Win</t>
        </is>
      </c>
      <c r="B11" s="4">
        <f>IFERROR(AVERAGEIFS('Trade Log'!S:S,'Trade Log'!D:D,"Experiment Day*",'Trade Log'!S:S,"&gt;5"),0)</f>
        <v/>
      </c>
      <c r="D11" s="1" t="inlineStr">
        <is>
          <t>Best Trade</t>
        </is>
      </c>
      <c r="E11" s="4">
        <f>SUMPRODUCT(MAX(('Trade Log'!D2:D100="Historical")*'Trade Log'!S2:S100))</f>
        <v/>
      </c>
    </row>
    <row r="12" ht="15" customHeight="1" s="56">
      <c r="A12" s="1" t="inlineStr">
        <is>
          <t>Avg Loss</t>
        </is>
      </c>
      <c r="B12" s="3">
        <f>IFERROR(AVERAGEIFS('Trade Log'!S:S,'Trade Log'!D:D,"Experiment Day*",'Trade Log'!S:S,"&lt;-5"),0)</f>
        <v/>
      </c>
      <c r="D12" s="1" t="inlineStr">
        <is>
          <t>Worst Trade</t>
        </is>
      </c>
      <c r="E12" s="3">
        <f>-SUMPRODUCT(MAX(('Trade Log'!D2:D100="Historical")*-'Trade Log'!S2:S100*('Trade Log'!S2:S100&lt;&gt;"")))</f>
        <v/>
      </c>
    </row>
    <row r="13" ht="15" customHeight="1" s="56">
      <c r="A13" s="1" t="inlineStr">
        <is>
          <t>Avg R-Multiple</t>
        </is>
      </c>
      <c r="B13" s="5">
        <f>IFERROR(AVERAGEIFS('Trade Log'!U:U,'Trade Log'!D:D,"Experiment Day*"),0)</f>
        <v/>
      </c>
      <c r="D13" s="1" t="inlineStr">
        <is>
          <t>Profit Factor</t>
        </is>
      </c>
      <c r="E13" s="6">
        <f>IFERROR(SUMIFS('Trade Log'!S:S,'Trade Log'!D:D,"Historical",'Trade Log'!S:S,"&gt;5")/ABS(SUMIFS('Trade Log'!S:S,'Trade Log'!D:D,"Historical",'Trade Log'!S:S,"&lt;-5")),0)</f>
        <v/>
      </c>
    </row>
    <row r="14" ht="15" customHeight="1" s="56">
      <c r="A14" s="1" t="inlineStr">
        <is>
          <t>Profit Factor</t>
        </is>
      </c>
      <c r="B14" s="6">
        <f>IFERROR(SUMIFS('Trade Log'!S:S,'Trade Log'!D:D,"Experiment Day*",'Trade Log'!S:S,"&gt;5")/ABS(SUMIFS('Trade Log'!S:S,'Trade Log'!D:D,"Experiment Day*",'Trade Log'!S:S,"&lt;-5")),0)</f>
        <v/>
      </c>
    </row>
    <row r="16" ht="15" customHeight="1" s="56">
      <c r="A16" s="53" t="inlineStr">
        <is>
          <t>BY DIRECTION (HISTORICAL)</t>
        </is>
      </c>
      <c r="B16" s="54" t="n"/>
      <c r="C16" s="54" t="n"/>
      <c r="D16" s="54" t="n"/>
      <c r="E16" s="54" t="n"/>
      <c r="F16" s="54" t="n"/>
    </row>
    <row r="17" ht="15" customHeight="1" s="56">
      <c r="A17" s="7" t="inlineStr">
        <is>
          <t>Direction</t>
        </is>
      </c>
      <c r="B17" s="7" t="inlineStr">
        <is>
          <t>Trades</t>
        </is>
      </c>
      <c r="C17" s="7" t="inlineStr">
        <is>
          <t>Win Rate</t>
        </is>
      </c>
      <c r="D17" s="7" t="inlineStr">
        <is>
          <t>Total P/L</t>
        </is>
      </c>
      <c r="E17" s="7" t="inlineStr">
        <is>
          <t>Avg Trade</t>
        </is>
      </c>
      <c r="F17" s="7" t="inlineStr">
        <is>
          <t>Note</t>
        </is>
      </c>
    </row>
    <row r="18" ht="15" customHeight="1" s="56">
      <c r="A18" s="1" t="inlineStr">
        <is>
          <t>Bullish</t>
        </is>
      </c>
      <c r="B18" s="1">
        <f>COUNTIFS('Trade Log'!D:D,"Historical",'Trade Log'!H:H,"Bullish")</f>
        <v/>
      </c>
      <c r="C18" s="2">
        <f>IFERROR(COUNTIFS('Trade Log'!D:D,"Historical",'Trade Log'!H:H,"Bullish",'Trade Log'!S:S,"&gt;5")/(COUNTIFS('Trade Log'!D:D,"Historical",'Trade Log'!H:H,"Bullish",'Trade Log'!S:S,"&gt;5")+COUNTIFS('Trade Log'!D:D,"Historical",'Trade Log'!H:H,"Bullish",'Trade Log'!S:S,"&lt;-5")),0)</f>
        <v/>
      </c>
      <c r="D18" s="3">
        <f>SUMIFS('Trade Log'!S:S,'Trade Log'!D:D,"Historical",'Trade Log'!H:H,"Bullish")</f>
        <v/>
      </c>
      <c r="E18" s="3">
        <f>IFERROR(D18/B18,0)</f>
        <v/>
      </c>
      <c r="F18" s="8" t="inlineStr">
        <is>
          <t>YOUR EDGE</t>
        </is>
      </c>
    </row>
    <row r="19" ht="15" customHeight="1" s="56">
      <c r="A19" s="1" t="inlineStr">
        <is>
          <t>Bearish</t>
        </is>
      </c>
      <c r="B19" s="1">
        <f>COUNTIFS('Trade Log'!D:D,"Historical",'Trade Log'!H:H,"Bearish")</f>
        <v/>
      </c>
      <c r="C19" s="2">
        <f>IFERROR(COUNTIFS('Trade Log'!D:D,"Historical",'Trade Log'!H:H,"Bearish",'Trade Log'!S:S,"&gt;5")/(COUNTIFS('Trade Log'!D:D,"Historical",'Trade Log'!H:H,"Bearish",'Trade Log'!S:S,"&gt;5")+COUNTIFS('Trade Log'!D:D,"Historical",'Trade Log'!H:H,"Bearish",'Trade Log'!S:S,"&lt;-5")),0)</f>
        <v/>
      </c>
      <c r="D19" s="3">
        <f>SUMIFS('Trade Log'!S:S,'Trade Log'!D:D,"Historical",'Trade Log'!H:H,"Bearish")</f>
        <v/>
      </c>
      <c r="E19" s="3">
        <f>IFERROR(D19/B19,0)</f>
        <v/>
      </c>
      <c r="F19" s="9" t="inlineStr">
        <is>
          <t>YOUR LEAK</t>
        </is>
      </c>
    </row>
    <row r="21" ht="15" customHeight="1" s="56">
      <c r="A21" s="53" t="inlineStr">
        <is>
          <t>BREAKTHROUGH METRICS</t>
        </is>
      </c>
      <c r="B21" s="54" t="n"/>
      <c r="C21" s="54" t="n"/>
      <c r="D21" s="54" t="n"/>
      <c r="E21" s="54" t="n"/>
      <c r="F21" s="54" t="n"/>
    </row>
    <row r="22" ht="15" customHeight="1" s="56">
      <c r="A22" s="1" t="inlineStr">
        <is>
          <t>Best Historical Win</t>
        </is>
      </c>
      <c r="B22" s="4">
        <f>E11</f>
        <v/>
      </c>
      <c r="C22" s="1" t="inlineStr">
        <is>
          <t>Best Experiment Win</t>
        </is>
      </c>
      <c r="D22" s="4">
        <f>SUMPRODUCT(MAX((LEFT('Trade Log'!D2:D100,10)="Experiment")*'Trade Log'!S2:S100))</f>
        <v/>
      </c>
      <c r="E22" s="1" t="inlineStr">
        <is>
          <t>Improvement</t>
        </is>
      </c>
      <c r="F22" s="10">
        <f>D22-B22</f>
        <v/>
      </c>
    </row>
    <row r="23" ht="15" customHeight="1" s="56">
      <c r="A23" s="1" t="inlineStr">
        <is>
          <t>Hist. Avg Win</t>
        </is>
      </c>
      <c r="B23" s="4">
        <f>E9</f>
        <v/>
      </c>
      <c r="C23" s="1" t="inlineStr">
        <is>
          <t>Exp. Avg Win</t>
        </is>
      </c>
      <c r="D23" s="4">
        <f>B11</f>
        <v/>
      </c>
      <c r="E23" s="1" t="inlineStr">
        <is>
          <t>Improvement</t>
        </is>
      </c>
      <c r="F23" s="3">
        <f>D23-B23</f>
        <v/>
      </c>
    </row>
  </sheetData>
  <mergeCells count="6">
    <mergeCell ref="A16:F16"/>
    <mergeCell ref="A2:F2"/>
    <mergeCell ref="D5:F5"/>
    <mergeCell ref="A1:F1"/>
    <mergeCell ref="A4:F4"/>
    <mergeCell ref="A21:F2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C60"/>
  <sheetViews>
    <sheetView zoomScaleNormal="100" workbookViewId="0">
      <pane xSplit="4" ySplit="1" topLeftCell="E2" activePane="bottomRight" state="frozen"/>
      <selection pane="topRight" activeCell="E1" sqref="E1"/>
      <selection pane="bottomLeft" activeCell="A2" sqref="A2"/>
      <selection pane="bottomRight" activeCell="A1" sqref="A1"/>
    </sheetView>
  </sheetViews>
  <sheetFormatPr baseColWidth="8" defaultColWidth="8.7109375" defaultRowHeight="15"/>
  <cols>
    <col width="12" customWidth="1" style="56" min="1" max="1"/>
    <col width="6" customWidth="1" style="56" min="2" max="2"/>
    <col width="7" customWidth="1" style="56" min="3" max="3"/>
    <col width="18" customWidth="1" style="56" min="4" max="4"/>
    <col width="8" customWidth="1" style="56" min="5" max="5"/>
    <col width="12" customWidth="1" style="56" min="6" max="6"/>
    <col width="11" customWidth="1" style="56" min="7" max="7"/>
    <col width="10" customWidth="1" style="56" min="8" max="8"/>
    <col width="11" customWidth="1" style="56" min="9" max="10"/>
    <col width="14" customWidth="1" style="56" min="11" max="11"/>
    <col width="11" customWidth="1" style="56" min="12" max="13"/>
    <col width="9" customWidth="1" style="56" min="14" max="14"/>
    <col width="6" customWidth="1" style="56" min="15" max="15"/>
    <col width="11" customWidth="1" style="56" min="16" max="18"/>
    <col width="10" customWidth="1" style="56" min="19" max="19"/>
    <col width="11" customWidth="1" style="56" min="20" max="20"/>
    <col width="35" customWidth="1" style="56" min="21" max="21"/>
    <col width="25" customWidth="1" style="56" min="22" max="22"/>
    <col width="7" customWidth="1" style="56" min="23" max="23"/>
    <col width="13" customWidth="1" style="56" min="24" max="24"/>
    <col width="8" customWidth="1" style="56" min="25" max="25"/>
    <col width="13" customWidth="1" style="56" min="26" max="26"/>
    <col width="60" customWidth="1" style="56" min="27" max="27"/>
    <col width="50" customWidth="1" style="56" min="28" max="28"/>
  </cols>
  <sheetData>
    <row r="1" ht="34.5" customHeight="1" s="56">
      <c r="A1" s="11" t="inlineStr">
        <is>
          <t>Date</t>
        </is>
      </c>
      <c r="B1" s="11" t="inlineStr">
        <is>
          <t>Day</t>
        </is>
      </c>
      <c r="C1" s="11" t="inlineStr">
        <is>
          <t>Trade #</t>
        </is>
      </c>
      <c r="D1" s="11" t="inlineStr">
        <is>
          <t>Phase</t>
        </is>
      </c>
      <c r="E1" s="11" t="inlineStr">
        <is>
          <t>Symbol</t>
        </is>
      </c>
      <c r="F1" s="11" t="inlineStr">
        <is>
          <t>Strike/Type</t>
        </is>
      </c>
      <c r="G1" s="11" t="inlineStr">
        <is>
          <t>Expiry</t>
        </is>
      </c>
      <c r="H1" s="11" t="inlineStr">
        <is>
          <t>Direction</t>
        </is>
      </c>
      <c r="I1" s="11" t="inlineStr">
        <is>
          <t>Entry Time</t>
        </is>
      </c>
      <c r="J1" s="11" t="inlineStr">
        <is>
          <t>Exit Time</t>
        </is>
      </c>
      <c r="K1" s="11" t="inlineStr">
        <is>
          <t>Time in Trade (min)</t>
        </is>
      </c>
      <c r="L1" s="11" t="inlineStr">
        <is>
          <t>Entry Premium</t>
        </is>
      </c>
      <c r="M1" s="11" t="inlineStr">
        <is>
          <t>Exit Premium</t>
        </is>
      </c>
      <c r="N1" s="11" t="inlineStr">
        <is>
          <t>Final Stop</t>
        </is>
      </c>
      <c r="O1" s="72" t="inlineStr">
        <is>
          <t>Initial Stop</t>
        </is>
      </c>
      <c r="P1" s="11" t="inlineStr">
        <is>
          <t>Qty</t>
        </is>
      </c>
      <c r="Q1" s="11" t="inlineStr">
        <is>
          <t>Gross P/L</t>
        </is>
      </c>
      <c r="R1" s="11" t="inlineStr">
        <is>
          <t>Commission</t>
        </is>
      </c>
      <c r="S1" s="11" t="inlineStr">
        <is>
          <t>Net P/L</t>
        </is>
      </c>
      <c r="T1" s="11" t="inlineStr">
        <is>
          <t>Risk ($)</t>
        </is>
      </c>
      <c r="U1" s="11" t="inlineStr">
        <is>
          <t>R-Multiple</t>
        </is>
      </c>
      <c r="V1" s="11" t="inlineStr">
        <is>
          <t>Setup Type</t>
        </is>
      </c>
      <c r="W1" s="11" t="inlineStr">
        <is>
          <t>Market Condition</t>
        </is>
      </c>
      <c r="X1" s="11" t="inlineStr">
        <is>
          <t>Grade</t>
        </is>
      </c>
      <c r="Y1" s="11" t="inlineStr">
        <is>
          <t>Rules Followed</t>
        </is>
      </c>
      <c r="Z1" s="11" t="inlineStr">
        <is>
          <t>Forced</t>
        </is>
      </c>
      <c r="AA1" s="11" t="inlineStr">
        <is>
          <t>Mental State (1-10)</t>
        </is>
      </c>
      <c r="AB1" s="11" t="inlineStr">
        <is>
          <t>Notes</t>
        </is>
      </c>
      <c r="AC1" s="72" t="inlineStr">
        <is>
          <t>Exit Method</t>
        </is>
      </c>
    </row>
    <row r="2" ht="30" customHeight="1" s="56">
      <c r="A2" s="12" t="inlineStr">
        <is>
          <t>2026-04-01</t>
        </is>
      </c>
      <c r="B2" s="12" t="inlineStr">
        <is>
          <t>Tue</t>
        </is>
      </c>
      <c r="C2" s="12" t="n">
        <v>1</v>
      </c>
      <c r="D2" s="12" t="inlineStr">
        <is>
          <t>Historical</t>
        </is>
      </c>
      <c r="E2" s="12" t="inlineStr">
        <is>
          <t>QQQ</t>
        </is>
      </c>
      <c r="F2" s="12" t="inlineStr">
        <is>
          <t>582C</t>
        </is>
      </c>
      <c r="G2" s="12" t="inlineStr">
        <is>
          <t>04/01/26</t>
        </is>
      </c>
      <c r="H2" s="12" t="inlineStr">
        <is>
          <t>Bullish</t>
        </is>
      </c>
      <c r="I2" s="12" t="inlineStr">
        <is>
          <t>07:50:23</t>
        </is>
      </c>
      <c r="J2" s="12" t="inlineStr">
        <is>
          <t>07:54:06</t>
        </is>
      </c>
      <c r="K2" s="12" t="n">
        <v>4</v>
      </c>
      <c r="L2" s="13" t="n">
        <v>1.85</v>
      </c>
      <c r="M2" s="13" t="n">
        <v>2.22</v>
      </c>
      <c r="N2" s="12" t="n"/>
      <c r="P2" s="12" t="n">
        <v>1</v>
      </c>
      <c r="Q2" s="14" t="n">
        <v>37</v>
      </c>
      <c r="R2" s="14" t="n">
        <v>1.6</v>
      </c>
      <c r="S2" s="15" t="n">
        <v>35.4</v>
      </c>
      <c r="T2" s="12" t="n"/>
      <c r="U2" s="12" t="n"/>
      <c r="V2" s="105" t="n"/>
      <c r="W2" s="105" t="n"/>
      <c r="X2" s="12" t="n"/>
      <c r="Y2" s="12" t="n"/>
      <c r="Z2" s="12" t="n"/>
      <c r="AA2" s="12" t="n"/>
      <c r="AB2" s="105" t="n"/>
      <c r="AC2" s="106" t="n"/>
    </row>
    <row r="3" ht="30" customHeight="1" s="56">
      <c r="A3" s="12" t="inlineStr">
        <is>
          <t>2026-04-01</t>
        </is>
      </c>
      <c r="B3" s="12" t="inlineStr">
        <is>
          <t>Tue</t>
        </is>
      </c>
      <c r="C3" s="12" t="n">
        <v>2</v>
      </c>
      <c r="D3" s="12" t="inlineStr">
        <is>
          <t>Historical</t>
        </is>
      </c>
      <c r="E3" s="12" t="inlineStr">
        <is>
          <t>QQQ</t>
        </is>
      </c>
      <c r="F3" s="12" t="inlineStr">
        <is>
          <t>583C</t>
        </is>
      </c>
      <c r="G3" s="12" t="inlineStr">
        <is>
          <t>04/01/26</t>
        </is>
      </c>
      <c r="H3" s="12" t="inlineStr">
        <is>
          <t>Bullish</t>
        </is>
      </c>
      <c r="I3" s="12" t="inlineStr">
        <is>
          <t>08:38:04</t>
        </is>
      </c>
      <c r="J3" s="12" t="inlineStr">
        <is>
          <t>08:39:19</t>
        </is>
      </c>
      <c r="K3" s="12" t="n">
        <v>1</v>
      </c>
      <c r="L3" s="13" t="n">
        <v>1.92</v>
      </c>
      <c r="M3" s="13" t="n">
        <v>2.35</v>
      </c>
      <c r="N3" s="12" t="n"/>
      <c r="P3" s="12" t="n">
        <v>1</v>
      </c>
      <c r="Q3" s="14" t="n">
        <v>43</v>
      </c>
      <c r="R3" s="14" t="n">
        <v>1.6</v>
      </c>
      <c r="S3" s="15" t="n">
        <v>41.4</v>
      </c>
      <c r="T3" s="12" t="n"/>
      <c r="U3" s="12" t="n"/>
      <c r="V3" s="105" t="n"/>
      <c r="W3" s="105" t="n"/>
      <c r="X3" s="12" t="n"/>
      <c r="Y3" s="12" t="n"/>
      <c r="Z3" s="12" t="n"/>
      <c r="AA3" s="12" t="n"/>
      <c r="AB3" s="105" t="n"/>
      <c r="AC3" s="106" t="n"/>
    </row>
    <row r="4" ht="30" customHeight="1" s="56">
      <c r="A4" s="12" t="inlineStr">
        <is>
          <t>2026-04-02</t>
        </is>
      </c>
      <c r="B4" s="12" t="inlineStr">
        <is>
          <t>Wed</t>
        </is>
      </c>
      <c r="C4" s="12" t="n">
        <v>1</v>
      </c>
      <c r="D4" s="12" t="inlineStr">
        <is>
          <t>Historical</t>
        </is>
      </c>
      <c r="E4" s="12" t="inlineStr">
        <is>
          <t>QQQ</t>
        </is>
      </c>
      <c r="F4" s="12" t="inlineStr">
        <is>
          <t>579C</t>
        </is>
      </c>
      <c r="G4" s="12" t="inlineStr">
        <is>
          <t>04/02/26</t>
        </is>
      </c>
      <c r="H4" s="12" t="inlineStr">
        <is>
          <t>Bullish</t>
        </is>
      </c>
      <c r="I4" s="12" t="inlineStr">
        <is>
          <t>08:28:12</t>
        </is>
      </c>
      <c r="J4" s="12" t="inlineStr">
        <is>
          <t>08:30:02</t>
        </is>
      </c>
      <c r="K4" s="12" t="n">
        <v>2</v>
      </c>
      <c r="L4" s="13" t="n">
        <v>1.96</v>
      </c>
      <c r="M4" s="13" t="n">
        <v>1.79</v>
      </c>
      <c r="N4" s="12" t="n"/>
      <c r="P4" s="12" t="n">
        <v>1</v>
      </c>
      <c r="Q4" s="14" t="n">
        <v>-17</v>
      </c>
      <c r="R4" s="14" t="n">
        <v>1.6</v>
      </c>
      <c r="S4" s="17" t="n">
        <v>-18.6</v>
      </c>
      <c r="T4" s="12" t="n"/>
      <c r="U4" s="12" t="n"/>
      <c r="V4" s="105" t="n"/>
      <c r="W4" s="105" t="n"/>
      <c r="X4" s="12" t="n"/>
      <c r="Y4" s="12" t="n"/>
      <c r="Z4" s="12" t="n"/>
      <c r="AA4" s="12" t="n"/>
      <c r="AB4" s="105" t="n"/>
      <c r="AC4" s="106" t="n"/>
    </row>
    <row r="5" ht="30" customHeight="1" s="56">
      <c r="A5" s="12" t="inlineStr">
        <is>
          <t>2026-04-02</t>
        </is>
      </c>
      <c r="B5" s="12" t="inlineStr">
        <is>
          <t>Wed</t>
        </is>
      </c>
      <c r="C5" s="12" t="n">
        <v>2</v>
      </c>
      <c r="D5" s="12" t="inlineStr">
        <is>
          <t>Historical</t>
        </is>
      </c>
      <c r="E5" s="12" t="inlineStr">
        <is>
          <t>QQQ</t>
        </is>
      </c>
      <c r="F5" s="12" t="inlineStr">
        <is>
          <t>579C</t>
        </is>
      </c>
      <c r="G5" s="12" t="inlineStr">
        <is>
          <t>04/02/26</t>
        </is>
      </c>
      <c r="H5" s="12" t="inlineStr">
        <is>
          <t>Bullish</t>
        </is>
      </c>
      <c r="I5" s="12" t="inlineStr">
        <is>
          <t>08:31:05</t>
        </is>
      </c>
      <c r="J5" s="12" t="inlineStr">
        <is>
          <t>08:32:22</t>
        </is>
      </c>
      <c r="K5" s="12" t="n">
        <v>1</v>
      </c>
      <c r="L5" s="13" t="n">
        <v>2.17</v>
      </c>
      <c r="M5" s="13" t="n">
        <v>1.93</v>
      </c>
      <c r="N5" s="12" t="n"/>
      <c r="P5" s="12" t="n">
        <v>1</v>
      </c>
      <c r="Q5" s="14" t="n">
        <v>-24</v>
      </c>
      <c r="R5" s="14" t="n">
        <v>1.6</v>
      </c>
      <c r="S5" s="17" t="n">
        <v>-25.6</v>
      </c>
      <c r="T5" s="12" t="n"/>
      <c r="U5" s="12" t="n"/>
      <c r="V5" s="105" t="n"/>
      <c r="W5" s="105" t="n"/>
      <c r="X5" s="12" t="n"/>
      <c r="Y5" s="12" t="n"/>
      <c r="Z5" s="12" t="n"/>
      <c r="AA5" s="12" t="n"/>
      <c r="AB5" s="105" t="n"/>
      <c r="AC5" s="106" t="n"/>
    </row>
    <row r="6" ht="30" customHeight="1" s="56">
      <c r="A6" s="12" t="inlineStr">
        <is>
          <t>2026-04-02</t>
        </is>
      </c>
      <c r="B6" s="12" t="inlineStr">
        <is>
          <t>Wed</t>
        </is>
      </c>
      <c r="C6" s="12" t="n">
        <v>3</v>
      </c>
      <c r="D6" s="12" t="inlineStr">
        <is>
          <t>Historical</t>
        </is>
      </c>
      <c r="E6" s="12" t="inlineStr">
        <is>
          <t>QQQ</t>
        </is>
      </c>
      <c r="F6" s="12" t="inlineStr">
        <is>
          <t>583P</t>
        </is>
      </c>
      <c r="G6" s="12" t="inlineStr">
        <is>
          <t>04/02/26</t>
        </is>
      </c>
      <c r="H6" s="12" t="inlineStr">
        <is>
          <t>Bearish</t>
        </is>
      </c>
      <c r="I6" s="12" t="inlineStr">
        <is>
          <t>09:00:36</t>
        </is>
      </c>
      <c r="J6" s="12" t="inlineStr">
        <is>
          <t>09:03:34</t>
        </is>
      </c>
      <c r="K6" s="12" t="n">
        <v>3</v>
      </c>
      <c r="L6" s="13" t="n">
        <v>2.55</v>
      </c>
      <c r="M6" s="13" t="n">
        <v>2.35</v>
      </c>
      <c r="N6" s="12" t="n"/>
      <c r="P6" s="12" t="n">
        <v>1</v>
      </c>
      <c r="Q6" s="14" t="n">
        <v>-20</v>
      </c>
      <c r="R6" s="14" t="n">
        <v>1.6</v>
      </c>
      <c r="S6" s="17" t="n">
        <v>-21.6</v>
      </c>
      <c r="T6" s="12" t="n"/>
      <c r="U6" s="12" t="n"/>
      <c r="V6" s="105" t="n"/>
      <c r="W6" s="105" t="n"/>
      <c r="X6" s="12" t="n"/>
      <c r="Y6" s="12" t="n"/>
      <c r="Z6" s="12" t="n"/>
      <c r="AA6" s="12" t="n"/>
      <c r="AB6" s="105" t="n"/>
      <c r="AC6" s="106" t="n"/>
    </row>
    <row r="7" ht="30" customHeight="1" s="56">
      <c r="A7" s="12" t="inlineStr">
        <is>
          <t>2026-04-06</t>
        </is>
      </c>
      <c r="B7" s="12" t="inlineStr">
        <is>
          <t>Sun</t>
        </is>
      </c>
      <c r="C7" s="12" t="n">
        <v>1</v>
      </c>
      <c r="D7" s="12" t="inlineStr">
        <is>
          <t>Historical</t>
        </is>
      </c>
      <c r="E7" s="12" t="inlineStr">
        <is>
          <t>QQQ</t>
        </is>
      </c>
      <c r="F7" s="12" t="inlineStr">
        <is>
          <t>587C</t>
        </is>
      </c>
      <c r="G7" s="12" t="inlineStr">
        <is>
          <t>04/06/26</t>
        </is>
      </c>
      <c r="H7" s="12" t="inlineStr">
        <is>
          <t>Bullish</t>
        </is>
      </c>
      <c r="I7" s="12" t="inlineStr">
        <is>
          <t>07:41:48</t>
        </is>
      </c>
      <c r="J7" s="12" t="inlineStr">
        <is>
          <t>07:44:40</t>
        </is>
      </c>
      <c r="K7" s="12" t="n">
        <v>3</v>
      </c>
      <c r="L7" s="13" t="n">
        <v>2.5</v>
      </c>
      <c r="M7" s="13" t="n">
        <v>2.55</v>
      </c>
      <c r="N7" s="12" t="n"/>
      <c r="P7" s="12" t="n">
        <v>1</v>
      </c>
      <c r="Q7" s="14" t="n">
        <v>5</v>
      </c>
      <c r="R7" s="14" t="n">
        <v>1.6</v>
      </c>
      <c r="S7" s="14" t="n">
        <v>3.4</v>
      </c>
      <c r="T7" s="12" t="n"/>
      <c r="U7" s="12" t="n"/>
      <c r="V7" s="105" t="n"/>
      <c r="W7" s="105" t="n"/>
      <c r="X7" s="12" t="n"/>
      <c r="Y7" s="12" t="n"/>
      <c r="Z7" s="12" t="n"/>
      <c r="AA7" s="12" t="n"/>
      <c r="AB7" s="105" t="n"/>
      <c r="AC7" s="106" t="n"/>
    </row>
    <row r="8" ht="30" customHeight="1" s="56">
      <c r="A8" s="12" t="inlineStr">
        <is>
          <t>2026-04-06</t>
        </is>
      </c>
      <c r="B8" s="12" t="inlineStr">
        <is>
          <t>Sun</t>
        </is>
      </c>
      <c r="C8" s="12" t="n">
        <v>2</v>
      </c>
      <c r="D8" s="12" t="inlineStr">
        <is>
          <t>Historical</t>
        </is>
      </c>
      <c r="E8" s="12" t="inlineStr">
        <is>
          <t>QQQ</t>
        </is>
      </c>
      <c r="F8" s="12" t="inlineStr">
        <is>
          <t>589C</t>
        </is>
      </c>
      <c r="G8" s="12" t="inlineStr">
        <is>
          <t>04/06/26</t>
        </is>
      </c>
      <c r="H8" s="12" t="inlineStr">
        <is>
          <t>Bullish</t>
        </is>
      </c>
      <c r="I8" s="12" t="inlineStr">
        <is>
          <t>08:28:14</t>
        </is>
      </c>
      <c r="J8" s="12" t="inlineStr">
        <is>
          <t>08:32:28</t>
        </is>
      </c>
      <c r="K8" s="12" t="n">
        <v>4</v>
      </c>
      <c r="L8" s="13" t="n">
        <v>1.53</v>
      </c>
      <c r="M8" s="13" t="n">
        <v>1.36</v>
      </c>
      <c r="N8" s="12" t="n"/>
      <c r="P8" s="12" t="n">
        <v>1</v>
      </c>
      <c r="Q8" s="14" t="n">
        <v>-17</v>
      </c>
      <c r="R8" s="14" t="n">
        <v>1.6</v>
      </c>
      <c r="S8" s="17" t="n">
        <v>-18.6</v>
      </c>
      <c r="T8" s="12" t="n"/>
      <c r="U8" s="12" t="n"/>
      <c r="V8" s="105" t="n"/>
      <c r="W8" s="105" t="n"/>
      <c r="X8" s="12" t="n"/>
      <c r="Y8" s="12" t="n"/>
      <c r="Z8" s="12" t="n"/>
      <c r="AA8" s="12" t="n"/>
      <c r="AB8" s="105" t="n"/>
      <c r="AC8" s="106" t="n"/>
    </row>
    <row r="9" ht="30" customHeight="1" s="56">
      <c r="A9" s="12" t="inlineStr">
        <is>
          <t>2026-04-06</t>
        </is>
      </c>
      <c r="B9" s="12" t="inlineStr">
        <is>
          <t>Sun</t>
        </is>
      </c>
      <c r="C9" s="12" t="n">
        <v>3</v>
      </c>
      <c r="D9" s="12" t="inlineStr">
        <is>
          <t>Historical</t>
        </is>
      </c>
      <c r="E9" s="12" t="inlineStr">
        <is>
          <t>QQQ</t>
        </is>
      </c>
      <c r="F9" s="12" t="inlineStr">
        <is>
          <t>587P</t>
        </is>
      </c>
      <c r="G9" s="12" t="inlineStr">
        <is>
          <t>04/06/26</t>
        </is>
      </c>
      <c r="H9" s="12" t="inlineStr">
        <is>
          <t>Bearish</t>
        </is>
      </c>
      <c r="I9" s="12" t="inlineStr">
        <is>
          <t>08:55:28</t>
        </is>
      </c>
      <c r="J9" s="12" t="inlineStr">
        <is>
          <t>08:56:15</t>
        </is>
      </c>
      <c r="K9" s="12" t="n">
        <v>1</v>
      </c>
      <c r="L9" s="13" t="n">
        <v>1.81</v>
      </c>
      <c r="M9" s="13" t="n">
        <v>1.54</v>
      </c>
      <c r="N9" s="12" t="n"/>
      <c r="P9" s="12" t="n">
        <v>1</v>
      </c>
      <c r="Q9" s="14" t="n">
        <v>-27</v>
      </c>
      <c r="R9" s="14" t="n">
        <v>1.6</v>
      </c>
      <c r="S9" s="17" t="n">
        <v>-28.6</v>
      </c>
      <c r="T9" s="12" t="n"/>
      <c r="U9" s="12" t="n"/>
      <c r="V9" s="105" t="n"/>
      <c r="W9" s="105" t="n"/>
      <c r="X9" s="12" t="n"/>
      <c r="Y9" s="12" t="n"/>
      <c r="Z9" s="12" t="n"/>
      <c r="AA9" s="12" t="n"/>
      <c r="AB9" s="105" t="n"/>
      <c r="AC9" s="106" t="n"/>
    </row>
    <row r="10" ht="30" customHeight="1" s="56">
      <c r="A10" s="12" t="inlineStr">
        <is>
          <t>2026-04-07</t>
        </is>
      </c>
      <c r="B10" s="12" t="inlineStr">
        <is>
          <t>Mon</t>
        </is>
      </c>
      <c r="C10" s="12" t="n">
        <v>1</v>
      </c>
      <c r="D10" s="12" t="inlineStr">
        <is>
          <t>Historical</t>
        </is>
      </c>
      <c r="E10" s="12" t="inlineStr">
        <is>
          <t>QQQ</t>
        </is>
      </c>
      <c r="F10" s="12" t="inlineStr">
        <is>
          <t>580P</t>
        </is>
      </c>
      <c r="G10" s="12" t="inlineStr">
        <is>
          <t>04/07/26</t>
        </is>
      </c>
      <c r="H10" s="12" t="inlineStr">
        <is>
          <t>Bearish</t>
        </is>
      </c>
      <c r="I10" s="12" t="inlineStr">
        <is>
          <t>08:12:53</t>
        </is>
      </c>
      <c r="J10" s="12" t="inlineStr">
        <is>
          <t>08:15:57</t>
        </is>
      </c>
      <c r="K10" s="12" t="n">
        <v>3</v>
      </c>
      <c r="L10" s="13" t="n">
        <v>2.02</v>
      </c>
      <c r="M10" s="13" t="n">
        <v>1.69</v>
      </c>
      <c r="N10" s="12" t="n"/>
      <c r="P10" s="12" t="n">
        <v>1</v>
      </c>
      <c r="Q10" s="14" t="n">
        <v>-33</v>
      </c>
      <c r="R10" s="14" t="n">
        <v>1.6</v>
      </c>
      <c r="S10" s="17" t="n">
        <v>-34.6</v>
      </c>
      <c r="T10" s="12" t="n"/>
      <c r="U10" s="12" t="n"/>
      <c r="V10" s="105" t="n"/>
      <c r="W10" s="105" t="n"/>
      <c r="X10" s="12" t="n"/>
      <c r="Y10" s="12" t="n"/>
      <c r="Z10" s="12" t="n"/>
      <c r="AA10" s="12" t="n"/>
      <c r="AB10" s="105" t="n"/>
      <c r="AC10" s="106" t="n"/>
    </row>
    <row r="11" ht="30" customHeight="1" s="56">
      <c r="A11" s="12" t="inlineStr">
        <is>
          <t>2026-04-07</t>
        </is>
      </c>
      <c r="B11" s="12" t="inlineStr">
        <is>
          <t>Mon</t>
        </is>
      </c>
      <c r="C11" s="12" t="n">
        <v>2</v>
      </c>
      <c r="D11" s="12" t="inlineStr">
        <is>
          <t>Historical</t>
        </is>
      </c>
      <c r="E11" s="12" t="inlineStr">
        <is>
          <t>QQQ</t>
        </is>
      </c>
      <c r="F11" s="12" t="inlineStr">
        <is>
          <t>581P</t>
        </is>
      </c>
      <c r="G11" s="12" t="inlineStr">
        <is>
          <t>04/07/26</t>
        </is>
      </c>
      <c r="H11" s="12" t="inlineStr">
        <is>
          <t>Bearish</t>
        </is>
      </c>
      <c r="I11" s="12" t="inlineStr">
        <is>
          <t>08:18:09</t>
        </is>
      </c>
      <c r="J11" s="12" t="inlineStr">
        <is>
          <t>08:20:21</t>
        </is>
      </c>
      <c r="K11" s="12" t="n">
        <v>2</v>
      </c>
      <c r="L11" s="13" t="n">
        <v>2.24</v>
      </c>
      <c r="M11" s="13" t="n">
        <v>1.84</v>
      </c>
      <c r="N11" s="12" t="n"/>
      <c r="P11" s="12" t="n">
        <v>1</v>
      </c>
      <c r="Q11" s="14" t="n">
        <v>-40</v>
      </c>
      <c r="R11" s="14" t="n">
        <v>1.6</v>
      </c>
      <c r="S11" s="17" t="n">
        <v>-41.6</v>
      </c>
      <c r="T11" s="12" t="n"/>
      <c r="U11" s="12" t="n"/>
      <c r="V11" s="105" t="n"/>
      <c r="W11" s="105" t="n"/>
      <c r="X11" s="12" t="n"/>
      <c r="Y11" s="12" t="n"/>
      <c r="Z11" s="12" t="n"/>
      <c r="AA11" s="12" t="n"/>
      <c r="AB11" s="105" t="n"/>
      <c r="AC11" s="106" t="n"/>
    </row>
    <row r="12" ht="30" customHeight="1" s="56">
      <c r="A12" s="12" t="inlineStr">
        <is>
          <t>2026-04-07</t>
        </is>
      </c>
      <c r="B12" s="12" t="inlineStr">
        <is>
          <t>Mon</t>
        </is>
      </c>
      <c r="C12" s="12" t="n">
        <v>3</v>
      </c>
      <c r="D12" s="12" t="inlineStr">
        <is>
          <t>Historical</t>
        </is>
      </c>
      <c r="E12" s="12" t="inlineStr">
        <is>
          <t>QQQ</t>
        </is>
      </c>
      <c r="F12" s="12" t="inlineStr">
        <is>
          <t>582P</t>
        </is>
      </c>
      <c r="G12" s="12" t="inlineStr">
        <is>
          <t>04/07/26</t>
        </is>
      </c>
      <c r="H12" s="12" t="inlineStr">
        <is>
          <t>Bearish</t>
        </is>
      </c>
      <c r="I12" s="12" t="inlineStr">
        <is>
          <t>08:28:09</t>
        </is>
      </c>
      <c r="J12" s="12" t="inlineStr">
        <is>
          <t>08:44:12</t>
        </is>
      </c>
      <c r="K12" s="12" t="n">
        <v>16</v>
      </c>
      <c r="L12" s="13" t="n">
        <v>2.25</v>
      </c>
      <c r="M12" s="13" t="n">
        <v>2.25</v>
      </c>
      <c r="N12" s="12" t="n"/>
      <c r="P12" s="12" t="n">
        <v>1</v>
      </c>
      <c r="Q12" s="14" t="n">
        <v>0</v>
      </c>
      <c r="R12" s="14" t="n">
        <v>1.6</v>
      </c>
      <c r="S12" s="14" t="n">
        <v>-1.6</v>
      </c>
      <c r="T12" s="12" t="n"/>
      <c r="U12" s="12" t="n"/>
      <c r="V12" s="105" t="n"/>
      <c r="W12" s="105" t="n"/>
      <c r="X12" s="12" t="n"/>
      <c r="Y12" s="12" t="n"/>
      <c r="Z12" s="12" t="n"/>
      <c r="AA12" s="12" t="n"/>
      <c r="AB12" s="105" t="n"/>
      <c r="AC12" s="106" t="n"/>
    </row>
    <row r="13" ht="30" customHeight="1" s="56">
      <c r="A13" s="12" t="inlineStr">
        <is>
          <t>2026-04-07</t>
        </is>
      </c>
      <c r="B13" s="12" t="inlineStr">
        <is>
          <t>Mon</t>
        </is>
      </c>
      <c r="C13" s="12" t="n">
        <v>4</v>
      </c>
      <c r="D13" s="12" t="inlineStr">
        <is>
          <t>Historical</t>
        </is>
      </c>
      <c r="E13" s="12" t="inlineStr">
        <is>
          <t>QQQ</t>
        </is>
      </c>
      <c r="F13" s="12" t="inlineStr">
        <is>
          <t>580P</t>
        </is>
      </c>
      <c r="G13" s="12" t="inlineStr">
        <is>
          <t>04/07/26</t>
        </is>
      </c>
      <c r="H13" s="12" t="inlineStr">
        <is>
          <t>Bearish</t>
        </is>
      </c>
      <c r="I13" s="12" t="inlineStr">
        <is>
          <t>08:59:17</t>
        </is>
      </c>
      <c r="J13" s="12" t="inlineStr">
        <is>
          <t>09:02:10</t>
        </is>
      </c>
      <c r="K13" s="12" t="n">
        <v>3</v>
      </c>
      <c r="L13" s="13" t="n">
        <v>1.87</v>
      </c>
      <c r="M13" s="13" t="n">
        <v>1.89</v>
      </c>
      <c r="N13" s="12" t="n"/>
      <c r="P13" s="12" t="n">
        <v>1</v>
      </c>
      <c r="Q13" s="14" t="n">
        <v>2</v>
      </c>
      <c r="R13" s="14" t="n">
        <v>1.6</v>
      </c>
      <c r="S13" s="14" t="n">
        <v>0.4</v>
      </c>
      <c r="T13" s="12" t="n"/>
      <c r="U13" s="12" t="n"/>
      <c r="V13" s="105" t="n"/>
      <c r="W13" s="105" t="n"/>
      <c r="X13" s="12" t="n"/>
      <c r="Y13" s="12" t="n"/>
      <c r="Z13" s="12" t="n"/>
      <c r="AA13" s="12" t="n"/>
      <c r="AB13" s="105" t="n"/>
      <c r="AC13" s="106" t="n"/>
    </row>
    <row r="14" ht="30" customHeight="1" s="56">
      <c r="A14" s="12" t="inlineStr">
        <is>
          <t>2026-04-09</t>
        </is>
      </c>
      <c r="B14" s="12" t="inlineStr">
        <is>
          <t>Wed</t>
        </is>
      </c>
      <c r="C14" s="12" t="n">
        <v>1</v>
      </c>
      <c r="D14" s="12" t="inlineStr">
        <is>
          <t>Historical</t>
        </is>
      </c>
      <c r="E14" s="12" t="inlineStr">
        <is>
          <t>QQQ</t>
        </is>
      </c>
      <c r="F14" s="12" t="inlineStr">
        <is>
          <t>604P</t>
        </is>
      </c>
      <c r="G14" s="12" t="inlineStr">
        <is>
          <t>04/09/26</t>
        </is>
      </c>
      <c r="H14" s="12" t="inlineStr">
        <is>
          <t>Bearish</t>
        </is>
      </c>
      <c r="I14" s="12" t="inlineStr">
        <is>
          <t>07:32:58</t>
        </is>
      </c>
      <c r="J14" s="12" t="inlineStr">
        <is>
          <t>07:34:43</t>
        </is>
      </c>
      <c r="K14" s="12" t="n">
        <v>2</v>
      </c>
      <c r="L14" s="13" t="n">
        <v>1.32</v>
      </c>
      <c r="M14" s="13" t="n">
        <v>1.6</v>
      </c>
      <c r="N14" s="12" t="n"/>
      <c r="P14" s="12" t="n">
        <v>1</v>
      </c>
      <c r="Q14" s="14" t="n">
        <v>28</v>
      </c>
      <c r="R14" s="14" t="n">
        <v>1.6</v>
      </c>
      <c r="S14" s="15" t="n">
        <v>26.4</v>
      </c>
      <c r="T14" s="12" t="n"/>
      <c r="U14" s="12" t="n"/>
      <c r="V14" s="105" t="n"/>
      <c r="W14" s="105" t="n"/>
      <c r="X14" s="12" t="n"/>
      <c r="Y14" s="12" t="n"/>
      <c r="Z14" s="12" t="n"/>
      <c r="AA14" s="12" t="n"/>
      <c r="AB14" s="105" t="n"/>
      <c r="AC14" s="106" t="n"/>
    </row>
    <row r="15" ht="30" customHeight="1" s="56">
      <c r="A15" s="12" t="inlineStr">
        <is>
          <t>2026-04-09</t>
        </is>
      </c>
      <c r="B15" s="12" t="inlineStr">
        <is>
          <t>Wed</t>
        </is>
      </c>
      <c r="C15" s="12" t="n">
        <v>2</v>
      </c>
      <c r="D15" s="12" t="inlineStr">
        <is>
          <t>Historical</t>
        </is>
      </c>
      <c r="E15" s="12" t="inlineStr">
        <is>
          <t>QQQ</t>
        </is>
      </c>
      <c r="F15" s="12" t="inlineStr">
        <is>
          <t>605P</t>
        </is>
      </c>
      <c r="G15" s="12" t="inlineStr">
        <is>
          <t>04/09/26</t>
        </is>
      </c>
      <c r="H15" s="12" t="inlineStr">
        <is>
          <t>Bearish</t>
        </is>
      </c>
      <c r="I15" s="12" t="inlineStr">
        <is>
          <t>07:40:33</t>
        </is>
      </c>
      <c r="J15" s="12" t="inlineStr">
        <is>
          <t>07:42:05</t>
        </is>
      </c>
      <c r="K15" s="12" t="n">
        <v>2</v>
      </c>
      <c r="L15" s="13" t="n">
        <v>1.55</v>
      </c>
      <c r="M15" s="13" t="n">
        <v>1.27</v>
      </c>
      <c r="N15" s="12" t="n"/>
      <c r="P15" s="12" t="n">
        <v>1</v>
      </c>
      <c r="Q15" s="14" t="n">
        <v>-28</v>
      </c>
      <c r="R15" s="14" t="n">
        <v>1.6</v>
      </c>
      <c r="S15" s="17" t="n">
        <v>-29.6</v>
      </c>
      <c r="T15" s="12" t="n"/>
      <c r="U15" s="12" t="n"/>
      <c r="V15" s="105" t="n"/>
      <c r="W15" s="105" t="n"/>
      <c r="X15" s="12" t="n"/>
      <c r="Y15" s="12" t="n"/>
      <c r="Z15" s="12" t="n"/>
      <c r="AA15" s="12" t="n"/>
      <c r="AB15" s="105" t="n"/>
      <c r="AC15" s="106" t="n"/>
    </row>
    <row r="16" ht="30" customHeight="1" s="56">
      <c r="A16" s="12" t="inlineStr">
        <is>
          <t>2026-04-09</t>
        </is>
      </c>
      <c r="B16" s="12" t="inlineStr">
        <is>
          <t>Wed</t>
        </is>
      </c>
      <c r="C16" s="12" t="n">
        <v>3</v>
      </c>
      <c r="D16" s="12" t="inlineStr">
        <is>
          <t>Historical</t>
        </is>
      </c>
      <c r="E16" s="12" t="inlineStr">
        <is>
          <t>QQQ</t>
        </is>
      </c>
      <c r="F16" s="12" t="inlineStr">
        <is>
          <t>605C</t>
        </is>
      </c>
      <c r="G16" s="12" t="inlineStr">
        <is>
          <t>04/09/26</t>
        </is>
      </c>
      <c r="H16" s="12" t="inlineStr">
        <is>
          <t>Bullish</t>
        </is>
      </c>
      <c r="I16" s="12" t="inlineStr">
        <is>
          <t>07:52:02</t>
        </is>
      </c>
      <c r="J16" s="12" t="inlineStr">
        <is>
          <t>07:53:29</t>
        </is>
      </c>
      <c r="K16" s="12" t="n">
        <v>1</v>
      </c>
      <c r="L16" s="13" t="n">
        <v>1.64</v>
      </c>
      <c r="M16" s="13" t="n">
        <v>1.38</v>
      </c>
      <c r="N16" s="12" t="n"/>
      <c r="P16" s="12" t="n">
        <v>1</v>
      </c>
      <c r="Q16" s="14" t="n">
        <v>-26</v>
      </c>
      <c r="R16" s="14" t="n">
        <v>1.6</v>
      </c>
      <c r="S16" s="17" t="n">
        <v>-27.6</v>
      </c>
      <c r="T16" s="12" t="n"/>
      <c r="U16" s="12" t="n"/>
      <c r="V16" s="105" t="n"/>
      <c r="W16" s="105" t="n"/>
      <c r="X16" s="12" t="n"/>
      <c r="Y16" s="12" t="n"/>
      <c r="Z16" s="12" t="n"/>
      <c r="AA16" s="12" t="n"/>
      <c r="AB16" s="105" t="n"/>
      <c r="AC16" s="106" t="n"/>
    </row>
    <row r="17" ht="30" customHeight="1" s="56">
      <c r="A17" s="12" t="inlineStr">
        <is>
          <t>2026-04-09</t>
        </is>
      </c>
      <c r="B17" s="12" t="inlineStr">
        <is>
          <t>Wed</t>
        </is>
      </c>
      <c r="C17" s="12" t="n">
        <v>4</v>
      </c>
      <c r="D17" s="12" t="inlineStr">
        <is>
          <t>Historical</t>
        </is>
      </c>
      <c r="E17" s="12" t="inlineStr">
        <is>
          <t>QQQ</t>
        </is>
      </c>
      <c r="F17" s="12" t="inlineStr">
        <is>
          <t>605C</t>
        </is>
      </c>
      <c r="G17" s="12" t="inlineStr">
        <is>
          <t>04/09/26</t>
        </is>
      </c>
      <c r="H17" s="12" t="inlineStr">
        <is>
          <t>Bullish</t>
        </is>
      </c>
      <c r="I17" s="12" t="inlineStr">
        <is>
          <t>07:54:05</t>
        </is>
      </c>
      <c r="J17" s="12" t="inlineStr">
        <is>
          <t>08:10:13</t>
        </is>
      </c>
      <c r="K17" s="12" t="n">
        <v>16</v>
      </c>
      <c r="L17" s="13" t="n">
        <v>1.52</v>
      </c>
      <c r="M17" s="13" t="n">
        <v>1.04</v>
      </c>
      <c r="N17" s="12" t="n"/>
      <c r="P17" s="12" t="n">
        <v>1</v>
      </c>
      <c r="Q17" s="14" t="n">
        <v>-48</v>
      </c>
      <c r="R17" s="14" t="n">
        <v>1.6</v>
      </c>
      <c r="S17" s="17" t="n">
        <v>-49.6</v>
      </c>
      <c r="T17" s="12" t="n"/>
      <c r="U17" s="12" t="n"/>
      <c r="V17" s="105" t="n"/>
      <c r="W17" s="105" t="n"/>
      <c r="X17" s="12" t="n"/>
      <c r="Y17" s="12" t="n"/>
      <c r="Z17" s="12" t="n"/>
      <c r="AA17" s="12" t="n"/>
      <c r="AB17" s="105" t="n"/>
      <c r="AC17" s="106" t="n"/>
    </row>
    <row r="18" ht="30" customHeight="1" s="56">
      <c r="A18" s="12" t="inlineStr">
        <is>
          <t>2026-04-09</t>
        </is>
      </c>
      <c r="B18" s="12" t="inlineStr">
        <is>
          <t>Wed</t>
        </is>
      </c>
      <c r="C18" s="12" t="n">
        <v>5</v>
      </c>
      <c r="D18" s="12" t="inlineStr">
        <is>
          <t>Historical</t>
        </is>
      </c>
      <c r="E18" s="12" t="inlineStr">
        <is>
          <t>QQQ</t>
        </is>
      </c>
      <c r="F18" s="12" t="inlineStr">
        <is>
          <t>605C</t>
        </is>
      </c>
      <c r="G18" s="12" t="inlineStr">
        <is>
          <t>04/09/26</t>
        </is>
      </c>
      <c r="H18" s="12" t="inlineStr">
        <is>
          <t>Bullish</t>
        </is>
      </c>
      <c r="I18" s="12" t="inlineStr">
        <is>
          <t>08:12:29</t>
        </is>
      </c>
      <c r="J18" s="12" t="inlineStr">
        <is>
          <t>08:16:08</t>
        </is>
      </c>
      <c r="K18" s="12" t="n">
        <v>4</v>
      </c>
      <c r="L18" s="13" t="n">
        <v>1.29</v>
      </c>
      <c r="M18" s="13" t="n">
        <v>0.92</v>
      </c>
      <c r="N18" s="12" t="n"/>
      <c r="P18" s="12" t="n">
        <v>1</v>
      </c>
      <c r="Q18" s="14" t="n">
        <v>-37</v>
      </c>
      <c r="R18" s="14" t="n">
        <v>1.6</v>
      </c>
      <c r="S18" s="17" t="n">
        <v>-38.6</v>
      </c>
      <c r="T18" s="12" t="n"/>
      <c r="U18" s="12" t="n"/>
      <c r="V18" s="105" t="n"/>
      <c r="W18" s="105" t="n"/>
      <c r="X18" s="12" t="n"/>
      <c r="Y18" s="12" t="n"/>
      <c r="Z18" s="12" t="n"/>
      <c r="AA18" s="12" t="n"/>
      <c r="AB18" s="105" t="n"/>
      <c r="AC18" s="106" t="n"/>
    </row>
    <row r="19" ht="30" customHeight="1" s="56">
      <c r="A19" s="12" t="inlineStr">
        <is>
          <t>2026-04-13</t>
        </is>
      </c>
      <c r="B19" s="12" t="inlineStr">
        <is>
          <t>Sun</t>
        </is>
      </c>
      <c r="C19" s="12" t="n">
        <v>1</v>
      </c>
      <c r="D19" s="12" t="inlineStr">
        <is>
          <t>Historical</t>
        </is>
      </c>
      <c r="E19" s="12" t="inlineStr">
        <is>
          <t>QQQ</t>
        </is>
      </c>
      <c r="F19" s="12" t="inlineStr">
        <is>
          <t>611C</t>
        </is>
      </c>
      <c r="G19" s="12" t="inlineStr">
        <is>
          <t>04/13/26</t>
        </is>
      </c>
      <c r="H19" s="12" t="inlineStr">
        <is>
          <t>Bullish</t>
        </is>
      </c>
      <c r="I19" s="12" t="inlineStr">
        <is>
          <t>08:20:02</t>
        </is>
      </c>
      <c r="J19" s="12" t="inlineStr">
        <is>
          <t>08:23:28</t>
        </is>
      </c>
      <c r="K19" s="12" t="n">
        <v>3</v>
      </c>
      <c r="L19" s="13" t="n">
        <v>1.3</v>
      </c>
      <c r="M19" s="13" t="n">
        <v>1.19</v>
      </c>
      <c r="N19" s="12" t="n"/>
      <c r="P19" s="12" t="n">
        <v>1</v>
      </c>
      <c r="Q19" s="14" t="n">
        <v>-11</v>
      </c>
      <c r="R19" s="14" t="n">
        <v>1.6</v>
      </c>
      <c r="S19" s="17" t="n">
        <v>-12.6</v>
      </c>
      <c r="T19" s="12" t="n"/>
      <c r="U19" s="12" t="n"/>
      <c r="V19" s="105" t="n"/>
      <c r="W19" s="105" t="n"/>
      <c r="X19" s="12" t="n"/>
      <c r="Y19" s="12" t="n"/>
      <c r="Z19" s="12" t="n"/>
      <c r="AA19" s="12" t="n"/>
      <c r="AB19" s="105" t="n"/>
      <c r="AC19" s="106" t="n"/>
    </row>
    <row r="20" ht="30" customHeight="1" s="56">
      <c r="A20" s="12" t="inlineStr">
        <is>
          <t>2026-04-13</t>
        </is>
      </c>
      <c r="B20" s="12" t="inlineStr">
        <is>
          <t>Sun</t>
        </is>
      </c>
      <c r="C20" s="12" t="n">
        <v>2</v>
      </c>
      <c r="D20" s="12" t="inlineStr">
        <is>
          <t>Historical</t>
        </is>
      </c>
      <c r="E20" s="12" t="inlineStr">
        <is>
          <t>QQQ</t>
        </is>
      </c>
      <c r="F20" s="12" t="inlineStr">
        <is>
          <t>612C</t>
        </is>
      </c>
      <c r="G20" s="12" t="inlineStr">
        <is>
          <t>04/13/26</t>
        </is>
      </c>
      <c r="H20" s="12" t="inlineStr">
        <is>
          <t>Bullish</t>
        </is>
      </c>
      <c r="I20" s="12" t="inlineStr">
        <is>
          <t>09:05:05</t>
        </is>
      </c>
      <c r="J20" s="12" t="inlineStr">
        <is>
          <t>09:13:05</t>
        </is>
      </c>
      <c r="K20" s="12" t="n">
        <v>8</v>
      </c>
      <c r="L20" s="13" t="n">
        <v>1.05</v>
      </c>
      <c r="M20" s="13" t="n">
        <v>1.48</v>
      </c>
      <c r="N20" s="12" t="n"/>
      <c r="P20" s="12" t="n">
        <v>1</v>
      </c>
      <c r="Q20" s="14" t="n">
        <v>43</v>
      </c>
      <c r="R20" s="14" t="n">
        <v>1.6</v>
      </c>
      <c r="S20" s="15" t="n">
        <v>41.4</v>
      </c>
      <c r="T20" s="12" t="n"/>
      <c r="U20" s="12" t="n"/>
      <c r="V20" s="105" t="n"/>
      <c r="W20" s="105" t="n"/>
      <c r="X20" s="12" t="n"/>
      <c r="Y20" s="12" t="n"/>
      <c r="Z20" s="12" t="n"/>
      <c r="AA20" s="12" t="n"/>
      <c r="AB20" s="105" t="n"/>
      <c r="AC20" s="106" t="n"/>
    </row>
    <row r="21" ht="30" customHeight="1" s="56">
      <c r="A21" s="12" t="inlineStr">
        <is>
          <t>2026-04-14</t>
        </is>
      </c>
      <c r="B21" s="12" t="inlineStr">
        <is>
          <t>Mon</t>
        </is>
      </c>
      <c r="C21" s="12" t="n">
        <v>1</v>
      </c>
      <c r="D21" s="12" t="inlineStr">
        <is>
          <t>Historical</t>
        </is>
      </c>
      <c r="E21" s="12" t="inlineStr">
        <is>
          <t>QQQ</t>
        </is>
      </c>
      <c r="F21" s="12" t="inlineStr">
        <is>
          <t>623C</t>
        </is>
      </c>
      <c r="G21" s="12" t="inlineStr">
        <is>
          <t>04/14/26</t>
        </is>
      </c>
      <c r="H21" s="12" t="inlineStr">
        <is>
          <t>Bullish</t>
        </is>
      </c>
      <c r="I21" s="12" t="inlineStr">
        <is>
          <t>07:51:22</t>
        </is>
      </c>
      <c r="J21" s="12" t="inlineStr">
        <is>
          <t>07:53:45</t>
        </is>
      </c>
      <c r="K21" s="12" t="n">
        <v>2</v>
      </c>
      <c r="L21" s="13" t="n">
        <v>1.1</v>
      </c>
      <c r="M21" s="13" t="n">
        <v>1.06</v>
      </c>
      <c r="N21" s="12" t="n"/>
      <c r="P21" s="12" t="n">
        <v>1</v>
      </c>
      <c r="Q21" s="14" t="n">
        <v>-4</v>
      </c>
      <c r="R21" s="14" t="n">
        <v>1.6</v>
      </c>
      <c r="S21" s="17" t="n">
        <v>-5.6</v>
      </c>
      <c r="T21" s="12" t="n"/>
      <c r="U21" s="12" t="n"/>
      <c r="V21" s="105" t="n"/>
      <c r="W21" s="105" t="n"/>
      <c r="X21" s="12" t="n"/>
      <c r="Y21" s="12" t="n"/>
      <c r="Z21" s="12" t="n"/>
      <c r="AA21" s="12" t="n"/>
      <c r="AB21" s="105" t="n"/>
      <c r="AC21" s="106" t="n"/>
    </row>
    <row r="22" ht="30" customHeight="1" s="56">
      <c r="A22" s="12" t="inlineStr">
        <is>
          <t>2026-04-14</t>
        </is>
      </c>
      <c r="B22" s="12" t="inlineStr">
        <is>
          <t>Mon</t>
        </is>
      </c>
      <c r="C22" s="12" t="n">
        <v>2</v>
      </c>
      <c r="D22" s="12" t="inlineStr">
        <is>
          <t>Historical</t>
        </is>
      </c>
      <c r="E22" s="12" t="inlineStr">
        <is>
          <t>QQQ</t>
        </is>
      </c>
      <c r="F22" s="12" t="inlineStr">
        <is>
          <t>623C</t>
        </is>
      </c>
      <c r="G22" s="12" t="inlineStr">
        <is>
          <t>04/14/26</t>
        </is>
      </c>
      <c r="H22" s="12" t="inlineStr">
        <is>
          <t>Bullish</t>
        </is>
      </c>
      <c r="I22" s="12" t="inlineStr">
        <is>
          <t>08:02:21</t>
        </is>
      </c>
      <c r="J22" s="12" t="inlineStr">
        <is>
          <t>08:10:55</t>
        </is>
      </c>
      <c r="K22" s="12" t="n">
        <v>8</v>
      </c>
      <c r="L22" s="13" t="n">
        <v>0.85</v>
      </c>
      <c r="M22" s="13" t="n">
        <v>1.01</v>
      </c>
      <c r="N22" s="12" t="n"/>
      <c r="P22" s="12" t="n">
        <v>1</v>
      </c>
      <c r="Q22" s="14" t="n">
        <v>16</v>
      </c>
      <c r="R22" s="14" t="n">
        <v>1.6</v>
      </c>
      <c r="S22" s="15" t="n">
        <v>14.4</v>
      </c>
      <c r="T22" s="12" t="n"/>
      <c r="U22" s="12" t="n"/>
      <c r="V22" s="105" t="n"/>
      <c r="W22" s="105" t="n"/>
      <c r="X22" s="12" t="n"/>
      <c r="Y22" s="12" t="n"/>
      <c r="Z22" s="12" t="n"/>
      <c r="AA22" s="12" t="n"/>
      <c r="AB22" s="105" t="n"/>
      <c r="AC22" s="106" t="n"/>
    </row>
    <row r="23" ht="30" customHeight="1" s="56">
      <c r="A23" s="12" t="inlineStr">
        <is>
          <t>2026-04-14</t>
        </is>
      </c>
      <c r="B23" s="12" t="inlineStr">
        <is>
          <t>Mon</t>
        </is>
      </c>
      <c r="C23" s="12" t="n">
        <v>3</v>
      </c>
      <c r="D23" s="12" t="inlineStr">
        <is>
          <t>Historical</t>
        </is>
      </c>
      <c r="E23" s="12" t="inlineStr">
        <is>
          <t>QQQ</t>
        </is>
      </c>
      <c r="F23" s="12" t="inlineStr">
        <is>
          <t>624C</t>
        </is>
      </c>
      <c r="G23" s="12" t="inlineStr">
        <is>
          <t>04/15/26</t>
        </is>
      </c>
      <c r="H23" s="12" t="inlineStr">
        <is>
          <t>Bullish</t>
        </is>
      </c>
      <c r="I23" s="12" t="inlineStr">
        <is>
          <t>09:08:21</t>
        </is>
      </c>
      <c r="J23" s="12" t="inlineStr">
        <is>
          <t>09:19:55</t>
        </is>
      </c>
      <c r="K23" s="12" t="n">
        <v>11</v>
      </c>
      <c r="L23" s="13" t="n">
        <v>1.87</v>
      </c>
      <c r="M23" s="13" t="n">
        <v>2.2</v>
      </c>
      <c r="N23" s="12" t="n"/>
      <c r="P23" s="12" t="n">
        <v>1</v>
      </c>
      <c r="Q23" s="14" t="n">
        <v>33</v>
      </c>
      <c r="R23" s="14" t="n">
        <v>1.6</v>
      </c>
      <c r="S23" s="15" t="n">
        <v>31.4</v>
      </c>
      <c r="T23" s="12" t="n"/>
      <c r="U23" s="12" t="n"/>
      <c r="V23" s="105" t="n"/>
      <c r="W23" s="105" t="n"/>
      <c r="X23" s="12" t="n"/>
      <c r="Y23" s="12" t="n"/>
      <c r="Z23" s="12" t="n"/>
      <c r="AA23" s="12" t="n"/>
      <c r="AB23" s="105" t="n"/>
      <c r="AC23" s="106" t="n"/>
    </row>
    <row r="24" ht="30" customHeight="1" s="56">
      <c r="A24" s="12" t="inlineStr">
        <is>
          <t>2026-04-14</t>
        </is>
      </c>
      <c r="B24" s="12" t="inlineStr">
        <is>
          <t>Mon</t>
        </is>
      </c>
      <c r="C24" s="12" t="n">
        <v>4</v>
      </c>
      <c r="D24" s="12" t="inlineStr">
        <is>
          <t>Historical</t>
        </is>
      </c>
      <c r="E24" s="12" t="inlineStr">
        <is>
          <t>QQQ</t>
        </is>
      </c>
      <c r="F24" s="12" t="inlineStr">
        <is>
          <t>625P</t>
        </is>
      </c>
      <c r="G24" s="12" t="inlineStr">
        <is>
          <t>04/15/26</t>
        </is>
      </c>
      <c r="H24" s="12" t="inlineStr">
        <is>
          <t>Bearish</t>
        </is>
      </c>
      <c r="I24" s="12" t="inlineStr">
        <is>
          <t>12:44:15</t>
        </is>
      </c>
      <c r="J24" s="12" t="inlineStr">
        <is>
          <t>12:49:03</t>
        </is>
      </c>
      <c r="K24" s="12" t="n">
        <v>5</v>
      </c>
      <c r="L24" s="13" t="n">
        <v>1.82</v>
      </c>
      <c r="M24" s="13" t="n">
        <v>1.85</v>
      </c>
      <c r="N24" s="12" t="n"/>
      <c r="P24" s="12" t="n">
        <v>1</v>
      </c>
      <c r="Q24" s="14" t="n">
        <v>3</v>
      </c>
      <c r="R24" s="14" t="n">
        <v>1.6</v>
      </c>
      <c r="S24" s="14" t="n">
        <v>1.4</v>
      </c>
      <c r="T24" s="12" t="n"/>
      <c r="U24" s="12" t="n"/>
      <c r="V24" s="105" t="n"/>
      <c r="W24" s="105" t="n"/>
      <c r="X24" s="12" t="n"/>
      <c r="Y24" s="12" t="n"/>
      <c r="Z24" s="12" t="n"/>
      <c r="AA24" s="12" t="n"/>
      <c r="AB24" s="105" t="n"/>
      <c r="AC24" s="106" t="n"/>
    </row>
    <row r="25" ht="30" customHeight="1" s="56">
      <c r="A25" s="12" t="inlineStr">
        <is>
          <t>2026-04-14</t>
        </is>
      </c>
      <c r="B25" s="12" t="inlineStr">
        <is>
          <t>Mon</t>
        </is>
      </c>
      <c r="C25" s="12" t="n">
        <v>5</v>
      </c>
      <c r="D25" s="12" t="inlineStr">
        <is>
          <t>Historical</t>
        </is>
      </c>
      <c r="E25" s="12" t="inlineStr">
        <is>
          <t>QQQ</t>
        </is>
      </c>
      <c r="F25" s="12" t="inlineStr">
        <is>
          <t>627P</t>
        </is>
      </c>
      <c r="G25" s="12" t="inlineStr">
        <is>
          <t>04/15/26</t>
        </is>
      </c>
      <c r="H25" s="12" t="inlineStr">
        <is>
          <t>Bearish</t>
        </is>
      </c>
      <c r="I25" s="12" t="inlineStr">
        <is>
          <t>13:30:51</t>
        </is>
      </c>
      <c r="J25" s="12" t="inlineStr">
        <is>
          <t>13:32:01</t>
        </is>
      </c>
      <c r="K25" s="12" t="n">
        <v>1</v>
      </c>
      <c r="L25" s="13" t="n">
        <v>1.98</v>
      </c>
      <c r="M25" s="13" t="n">
        <v>1.88</v>
      </c>
      <c r="N25" s="12" t="n"/>
      <c r="P25" s="12" t="n">
        <v>1</v>
      </c>
      <c r="Q25" s="14" t="n">
        <v>-10</v>
      </c>
      <c r="R25" s="14" t="n">
        <v>1.6</v>
      </c>
      <c r="S25" s="17" t="n">
        <v>-11.6</v>
      </c>
      <c r="T25" s="12" t="n"/>
      <c r="U25" s="12" t="n"/>
      <c r="V25" s="105" t="n"/>
      <c r="W25" s="105" t="n"/>
      <c r="X25" s="12" t="n"/>
      <c r="Y25" s="12" t="n"/>
      <c r="Z25" s="12" t="n"/>
      <c r="AA25" s="12" t="n"/>
      <c r="AB25" s="105" t="n"/>
      <c r="AC25" s="106" t="n"/>
    </row>
    <row r="26" ht="30" customHeight="1" s="56">
      <c r="A26" s="12" t="inlineStr">
        <is>
          <t>2026-04-15</t>
        </is>
      </c>
      <c r="B26" s="12" t="inlineStr">
        <is>
          <t>Tue</t>
        </is>
      </c>
      <c r="C26" s="12" t="n">
        <v>1</v>
      </c>
      <c r="D26" s="12" t="inlineStr">
        <is>
          <t>Historical</t>
        </is>
      </c>
      <c r="E26" s="12" t="inlineStr">
        <is>
          <t>QQQ</t>
        </is>
      </c>
      <c r="F26" s="12" t="inlineStr">
        <is>
          <t>632C</t>
        </is>
      </c>
      <c r="G26" s="12" t="inlineStr">
        <is>
          <t>04/15/26</t>
        </is>
      </c>
      <c r="H26" s="12" t="inlineStr">
        <is>
          <t>Bullish</t>
        </is>
      </c>
      <c r="I26" s="12" t="inlineStr">
        <is>
          <t>08:40:06</t>
        </is>
      </c>
      <c r="J26" s="12" t="inlineStr">
        <is>
          <t>08:40:57</t>
        </is>
      </c>
      <c r="K26" s="12" t="n">
        <v>1</v>
      </c>
      <c r="L26" s="13" t="n">
        <v>0.97</v>
      </c>
      <c r="M26" s="13" t="n">
        <v>1.05</v>
      </c>
      <c r="N26" s="12" t="n"/>
      <c r="P26" s="12" t="n">
        <v>1</v>
      </c>
      <c r="Q26" s="14" t="n">
        <v>8</v>
      </c>
      <c r="R26" s="14" t="n">
        <v>1.6</v>
      </c>
      <c r="S26" s="15" t="n">
        <v>6.4</v>
      </c>
      <c r="T26" s="12" t="n"/>
      <c r="U26" s="12" t="n"/>
      <c r="V26" s="105" t="n"/>
      <c r="W26" s="105" t="n"/>
      <c r="X26" s="12" t="n"/>
      <c r="Y26" s="12" t="n"/>
      <c r="Z26" s="12" t="n"/>
      <c r="AA26" s="12" t="n"/>
      <c r="AB26" s="105" t="n"/>
      <c r="AC26" s="106" t="n"/>
    </row>
    <row r="27" ht="30" customHeight="1" s="56">
      <c r="A27" s="12" t="inlineStr">
        <is>
          <t>2026-04-15</t>
        </is>
      </c>
      <c r="B27" s="12" t="inlineStr">
        <is>
          <t>Tue</t>
        </is>
      </c>
      <c r="C27" s="12" t="n">
        <v>2</v>
      </c>
      <c r="D27" s="12" t="inlineStr">
        <is>
          <t>Historical</t>
        </is>
      </c>
      <c r="E27" s="12" t="inlineStr">
        <is>
          <t>QQQ</t>
        </is>
      </c>
      <c r="F27" s="12" t="inlineStr">
        <is>
          <t>632C</t>
        </is>
      </c>
      <c r="G27" s="12" t="inlineStr">
        <is>
          <t>04/15/26</t>
        </is>
      </c>
      <c r="H27" s="12" t="inlineStr">
        <is>
          <t>Bullish</t>
        </is>
      </c>
      <c r="I27" s="12" t="inlineStr">
        <is>
          <t>09:08:09</t>
        </is>
      </c>
      <c r="J27" s="12" t="inlineStr">
        <is>
          <t>09:12:04</t>
        </is>
      </c>
      <c r="K27" s="12" t="n">
        <v>4</v>
      </c>
      <c r="L27" s="13" t="n">
        <v>1.2</v>
      </c>
      <c r="M27" s="13" t="n">
        <v>1.53</v>
      </c>
      <c r="N27" s="12" t="n"/>
      <c r="P27" s="12" t="n">
        <v>1</v>
      </c>
      <c r="Q27" s="14" t="n">
        <v>33</v>
      </c>
      <c r="R27" s="14" t="n">
        <v>1.6</v>
      </c>
      <c r="S27" s="15" t="n">
        <v>31.4</v>
      </c>
      <c r="T27" s="12" t="n"/>
      <c r="U27" s="12" t="n"/>
      <c r="V27" s="105" t="n"/>
      <c r="W27" s="105" t="n"/>
      <c r="X27" s="12" t="n"/>
      <c r="Y27" s="12" t="n"/>
      <c r="Z27" s="12" t="n"/>
      <c r="AA27" s="12" t="n"/>
      <c r="AB27" s="105" t="n"/>
      <c r="AC27" s="106" t="n"/>
    </row>
    <row r="28" ht="30" customHeight="1" s="56">
      <c r="A28" s="12" t="inlineStr">
        <is>
          <t>2026-04-16</t>
        </is>
      </c>
      <c r="B28" s="12" t="inlineStr">
        <is>
          <t>Wed</t>
        </is>
      </c>
      <c r="C28" s="12" t="n">
        <v>1</v>
      </c>
      <c r="D28" s="12" t="inlineStr">
        <is>
          <t>Historical</t>
        </is>
      </c>
      <c r="E28" s="12" t="inlineStr">
        <is>
          <t>QQQ</t>
        </is>
      </c>
      <c r="F28" s="12" t="inlineStr">
        <is>
          <t>640C</t>
        </is>
      </c>
      <c r="G28" s="12" t="inlineStr">
        <is>
          <t>04/16/26</t>
        </is>
      </c>
      <c r="H28" s="12" t="inlineStr">
        <is>
          <t>Bullish</t>
        </is>
      </c>
      <c r="I28" s="12" t="inlineStr">
        <is>
          <t>07:33:05</t>
        </is>
      </c>
      <c r="J28" s="12" t="inlineStr">
        <is>
          <t>07:34:04</t>
        </is>
      </c>
      <c r="K28" s="12" t="n">
        <v>1</v>
      </c>
      <c r="L28" s="13" t="n">
        <v>1.03</v>
      </c>
      <c r="M28" s="13" t="n">
        <v>0.93</v>
      </c>
      <c r="N28" s="12" t="n"/>
      <c r="P28" s="12" t="n">
        <v>1</v>
      </c>
      <c r="Q28" s="14" t="n">
        <v>-10</v>
      </c>
      <c r="R28" s="14" t="n">
        <v>1.6</v>
      </c>
      <c r="S28" s="17" t="n">
        <v>-11.6</v>
      </c>
      <c r="T28" s="12" t="n"/>
      <c r="U28" s="12" t="n"/>
      <c r="V28" s="105" t="n"/>
      <c r="W28" s="105" t="n"/>
      <c r="X28" s="12" t="n"/>
      <c r="Y28" s="12" t="n"/>
      <c r="Z28" s="12" t="n"/>
      <c r="AA28" s="12" t="n"/>
      <c r="AB28" s="105" t="n"/>
      <c r="AC28" s="106" t="n"/>
    </row>
    <row r="29" ht="30" customHeight="1" s="56">
      <c r="A29" s="12" t="inlineStr">
        <is>
          <t>2026-04-16</t>
        </is>
      </c>
      <c r="B29" s="12" t="inlineStr">
        <is>
          <t>Wed</t>
        </is>
      </c>
      <c r="C29" s="12" t="n">
        <v>2</v>
      </c>
      <c r="D29" s="12" t="inlineStr">
        <is>
          <t>Historical</t>
        </is>
      </c>
      <c r="E29" s="12" t="inlineStr">
        <is>
          <t>QQQ</t>
        </is>
      </c>
      <c r="F29" s="12" t="inlineStr">
        <is>
          <t>640C</t>
        </is>
      </c>
      <c r="G29" s="12" t="inlineStr">
        <is>
          <t>04/16/26</t>
        </is>
      </c>
      <c r="H29" s="12" t="inlineStr">
        <is>
          <t>Bullish</t>
        </is>
      </c>
      <c r="I29" s="12" t="inlineStr">
        <is>
          <t>07:34:53</t>
        </is>
      </c>
      <c r="J29" s="12" t="inlineStr">
        <is>
          <t>07:36:09</t>
        </is>
      </c>
      <c r="K29" s="12" t="n">
        <v>1</v>
      </c>
      <c r="L29" s="13" t="n">
        <v>1.09</v>
      </c>
      <c r="M29" s="13" t="n">
        <v>0.9399999999999999</v>
      </c>
      <c r="N29" s="12" t="n"/>
      <c r="P29" s="12" t="n">
        <v>1</v>
      </c>
      <c r="Q29" s="14" t="n">
        <v>-15</v>
      </c>
      <c r="R29" s="14" t="n">
        <v>1.6</v>
      </c>
      <c r="S29" s="17" t="n">
        <v>-16.6</v>
      </c>
      <c r="T29" s="12" t="n"/>
      <c r="U29" s="12" t="n"/>
      <c r="V29" s="105" t="n"/>
      <c r="W29" s="105" t="n"/>
      <c r="X29" s="12" t="n"/>
      <c r="Y29" s="12" t="n"/>
      <c r="Z29" s="12" t="n"/>
      <c r="AA29" s="12" t="n"/>
      <c r="AB29" s="105" t="n"/>
      <c r="AC29" s="106" t="n"/>
    </row>
    <row r="30" ht="30" customHeight="1" s="56">
      <c r="A30" s="12" t="inlineStr">
        <is>
          <t>2026-04-16</t>
        </is>
      </c>
      <c r="B30" s="12" t="inlineStr">
        <is>
          <t>Wed</t>
        </is>
      </c>
      <c r="C30" s="12" t="n">
        <v>3</v>
      </c>
      <c r="D30" s="12" t="inlineStr">
        <is>
          <t>Historical</t>
        </is>
      </c>
      <c r="E30" s="12" t="inlineStr">
        <is>
          <t>QQQ</t>
        </is>
      </c>
      <c r="F30" s="12" t="inlineStr">
        <is>
          <t>636P</t>
        </is>
      </c>
      <c r="G30" s="12" t="inlineStr">
        <is>
          <t>04/16/26</t>
        </is>
      </c>
      <c r="H30" s="12" t="inlineStr">
        <is>
          <t>Bearish</t>
        </is>
      </c>
      <c r="I30" s="12" t="inlineStr">
        <is>
          <t>08:00:09</t>
        </is>
      </c>
      <c r="J30" s="12" t="inlineStr">
        <is>
          <t>08:08:13</t>
        </is>
      </c>
      <c r="K30" s="12" t="n">
        <v>8</v>
      </c>
      <c r="L30" s="13" t="n">
        <v>1.84</v>
      </c>
      <c r="M30" s="13" t="n">
        <v>1.27</v>
      </c>
      <c r="N30" s="12" t="n"/>
      <c r="P30" s="12" t="n">
        <v>1</v>
      </c>
      <c r="Q30" s="14" t="n">
        <v>-57</v>
      </c>
      <c r="R30" s="14" t="n">
        <v>1.6</v>
      </c>
      <c r="S30" s="17" t="n">
        <v>-58.6</v>
      </c>
      <c r="T30" s="12" t="n"/>
      <c r="U30" s="12" t="n"/>
      <c r="V30" s="105" t="n"/>
      <c r="W30" s="105" t="n"/>
      <c r="X30" s="12" t="n"/>
      <c r="Y30" s="12" t="n"/>
      <c r="Z30" s="12" t="n"/>
      <c r="AA30" s="12" t="n"/>
      <c r="AB30" s="105" t="n"/>
      <c r="AC30" s="106" t="n"/>
    </row>
    <row r="31" ht="30" customHeight="1" s="56">
      <c r="A31" s="12" t="inlineStr">
        <is>
          <t>2026-04-16</t>
        </is>
      </c>
      <c r="B31" s="12" t="inlineStr">
        <is>
          <t>Wed</t>
        </is>
      </c>
      <c r="C31" s="12" t="n">
        <v>4</v>
      </c>
      <c r="D31" s="12" t="inlineStr">
        <is>
          <t>Historical</t>
        </is>
      </c>
      <c r="E31" s="12" t="inlineStr">
        <is>
          <t>QQQ</t>
        </is>
      </c>
      <c r="F31" s="12" t="inlineStr">
        <is>
          <t>639C</t>
        </is>
      </c>
      <c r="G31" s="12" t="inlineStr">
        <is>
          <t>04/16/26</t>
        </is>
      </c>
      <c r="H31" s="12" t="inlineStr">
        <is>
          <t>Bullish</t>
        </is>
      </c>
      <c r="I31" s="12" t="inlineStr">
        <is>
          <t>08:59:30</t>
        </is>
      </c>
      <c r="J31" s="12" t="inlineStr">
        <is>
          <t>09:03:38</t>
        </is>
      </c>
      <c r="K31" s="12" t="n">
        <v>4</v>
      </c>
      <c r="L31" s="13" t="n">
        <v>1.14</v>
      </c>
      <c r="M31" s="13" t="n">
        <v>1.5</v>
      </c>
      <c r="N31" s="12" t="n"/>
      <c r="P31" s="12" t="n">
        <v>1</v>
      </c>
      <c r="Q31" s="14" t="n">
        <v>36</v>
      </c>
      <c r="R31" s="14" t="n">
        <v>1.6</v>
      </c>
      <c r="S31" s="15" t="n">
        <v>34.4</v>
      </c>
      <c r="T31" s="12" t="n"/>
      <c r="U31" s="12" t="n"/>
      <c r="V31" s="105" t="n"/>
      <c r="W31" s="105" t="n"/>
      <c r="X31" s="12" t="n"/>
      <c r="Y31" s="12" t="n"/>
      <c r="Z31" s="12" t="n"/>
      <c r="AA31" s="12" t="n"/>
      <c r="AB31" s="105" t="n"/>
      <c r="AC31" s="106" t="n"/>
    </row>
    <row r="32" ht="30" customHeight="1" s="56">
      <c r="A32" s="12" t="inlineStr">
        <is>
          <t>2026-04-17</t>
        </is>
      </c>
      <c r="B32" s="12" t="inlineStr">
        <is>
          <t>Thu</t>
        </is>
      </c>
      <c r="C32" s="12" t="n">
        <v>1</v>
      </c>
      <c r="D32" s="12" t="inlineStr">
        <is>
          <t>Historical</t>
        </is>
      </c>
      <c r="E32" s="12" t="inlineStr">
        <is>
          <t>QQQ</t>
        </is>
      </c>
      <c r="F32" s="12" t="inlineStr">
        <is>
          <t>647P</t>
        </is>
      </c>
      <c r="G32" s="12" t="inlineStr">
        <is>
          <t>04/20/26</t>
        </is>
      </c>
      <c r="H32" s="12" t="inlineStr">
        <is>
          <t>Bearish</t>
        </is>
      </c>
      <c r="I32" s="12" t="inlineStr">
        <is>
          <t>13:51:08</t>
        </is>
      </c>
      <c r="J32" s="12" t="inlineStr">
        <is>
          <t>13:53:31</t>
        </is>
      </c>
      <c r="K32" s="12" t="n">
        <v>2</v>
      </c>
      <c r="L32" s="13" t="n">
        <v>2.51</v>
      </c>
      <c r="M32" s="13" t="n">
        <v>2.45</v>
      </c>
      <c r="N32" s="12" t="n"/>
      <c r="P32" s="12" t="n">
        <v>1</v>
      </c>
      <c r="Q32" s="14" t="n">
        <v>-6</v>
      </c>
      <c r="R32" s="14" t="n">
        <v>1.6</v>
      </c>
      <c r="S32" s="17" t="n">
        <v>-7.6</v>
      </c>
      <c r="T32" s="12" t="n"/>
      <c r="U32" s="12" t="n"/>
      <c r="V32" s="105" t="n"/>
      <c r="W32" s="105" t="n"/>
      <c r="X32" s="12" t="n"/>
      <c r="Y32" s="12" t="n"/>
      <c r="Z32" s="12" t="n"/>
      <c r="AA32" s="12" t="n"/>
      <c r="AB32" s="105" t="n"/>
      <c r="AC32" s="106" t="n"/>
    </row>
    <row r="33" ht="30" customHeight="1" s="56">
      <c r="A33" s="12" t="inlineStr">
        <is>
          <t>2026-04-20</t>
        </is>
      </c>
      <c r="B33" s="12" t="inlineStr">
        <is>
          <t>Sun</t>
        </is>
      </c>
      <c r="C33" s="12" t="n">
        <v>1</v>
      </c>
      <c r="D33" s="12" t="inlineStr">
        <is>
          <t>Historical</t>
        </is>
      </c>
      <c r="E33" s="12" t="inlineStr">
        <is>
          <t>QQQ</t>
        </is>
      </c>
      <c r="F33" s="12" t="inlineStr">
        <is>
          <t>648P</t>
        </is>
      </c>
      <c r="G33" s="12" t="inlineStr">
        <is>
          <t>04/20/26</t>
        </is>
      </c>
      <c r="H33" s="12" t="inlineStr">
        <is>
          <t>Bearish</t>
        </is>
      </c>
      <c r="I33" s="12" t="inlineStr">
        <is>
          <t>07:57:05</t>
        </is>
      </c>
      <c r="J33" s="12" t="inlineStr">
        <is>
          <t>08:01:25</t>
        </is>
      </c>
      <c r="K33" s="12" t="n">
        <v>4</v>
      </c>
      <c r="L33" s="13" t="n">
        <v>1.63</v>
      </c>
      <c r="M33" s="13" t="n">
        <v>1.96</v>
      </c>
      <c r="N33" s="12" t="n"/>
      <c r="P33" s="12" t="n">
        <v>1</v>
      </c>
      <c r="Q33" s="14" t="n">
        <v>33</v>
      </c>
      <c r="R33" s="14" t="n">
        <v>1.6</v>
      </c>
      <c r="S33" s="15" t="n">
        <v>31.4</v>
      </c>
      <c r="T33" s="12" t="n"/>
      <c r="U33" s="12" t="n"/>
      <c r="V33" s="105" t="n"/>
      <c r="W33" s="105" t="n"/>
      <c r="X33" s="12" t="n"/>
      <c r="Y33" s="12" t="n"/>
      <c r="Z33" s="12" t="n"/>
      <c r="AA33" s="12" t="n"/>
      <c r="AB33" s="105" t="n"/>
      <c r="AC33" s="106" t="n"/>
    </row>
    <row r="34" ht="30" customHeight="1" s="56">
      <c r="A34" s="12" t="inlineStr">
        <is>
          <t>2026-04-20</t>
        </is>
      </c>
      <c r="B34" s="12" t="inlineStr">
        <is>
          <t>Sun</t>
        </is>
      </c>
      <c r="C34" s="12" t="n">
        <v>2</v>
      </c>
      <c r="D34" s="12" t="inlineStr">
        <is>
          <t>Historical</t>
        </is>
      </c>
      <c r="E34" s="12" t="inlineStr">
        <is>
          <t>QQQ</t>
        </is>
      </c>
      <c r="F34" s="12" t="inlineStr">
        <is>
          <t>646P</t>
        </is>
      </c>
      <c r="G34" s="12" t="inlineStr">
        <is>
          <t>04/20/26</t>
        </is>
      </c>
      <c r="H34" s="12" t="inlineStr">
        <is>
          <t>Bearish</t>
        </is>
      </c>
      <c r="I34" s="12" t="inlineStr">
        <is>
          <t>08:41:03</t>
        </is>
      </c>
      <c r="J34" s="12" t="inlineStr">
        <is>
          <t>08:43:43</t>
        </is>
      </c>
      <c r="K34" s="12" t="n">
        <v>3</v>
      </c>
      <c r="L34" s="13" t="n">
        <v>1.67</v>
      </c>
      <c r="M34" s="13" t="n">
        <v>1.61</v>
      </c>
      <c r="N34" s="12" t="n"/>
      <c r="P34" s="12" t="n">
        <v>1</v>
      </c>
      <c r="Q34" s="14" t="n">
        <v>-6</v>
      </c>
      <c r="R34" s="14" t="n">
        <v>1.6</v>
      </c>
      <c r="S34" s="17" t="n">
        <v>-7.6</v>
      </c>
      <c r="T34" s="12" t="n"/>
      <c r="U34" s="12" t="n"/>
      <c r="V34" s="105" t="n"/>
      <c r="W34" s="105" t="n"/>
      <c r="X34" s="12" t="n"/>
      <c r="Y34" s="12" t="n"/>
      <c r="Z34" s="12" t="n"/>
      <c r="AA34" s="12" t="n"/>
      <c r="AB34" s="105" t="n"/>
      <c r="AC34" s="106" t="n"/>
    </row>
    <row r="35" ht="30" customHeight="1" s="56">
      <c r="A35" s="12" t="inlineStr">
        <is>
          <t>2026-04-20</t>
        </is>
      </c>
      <c r="B35" s="12" t="inlineStr">
        <is>
          <t>Sun</t>
        </is>
      </c>
      <c r="C35" s="12" t="n">
        <v>3</v>
      </c>
      <c r="D35" s="12" t="inlineStr">
        <is>
          <t>Historical</t>
        </is>
      </c>
      <c r="E35" s="12" t="inlineStr">
        <is>
          <t>QQQ</t>
        </is>
      </c>
      <c r="F35" s="12" t="inlineStr">
        <is>
          <t>644P</t>
        </is>
      </c>
      <c r="G35" s="12" t="inlineStr">
        <is>
          <t>04/20/26</t>
        </is>
      </c>
      <c r="H35" s="12" t="inlineStr">
        <is>
          <t>Bearish</t>
        </is>
      </c>
      <c r="I35" s="12" t="inlineStr">
        <is>
          <t>09:12:09</t>
        </is>
      </c>
      <c r="J35" s="12" t="inlineStr">
        <is>
          <t>09:14:04</t>
        </is>
      </c>
      <c r="K35" s="12" t="n">
        <v>2</v>
      </c>
      <c r="L35" s="13" t="n">
        <v>1.62</v>
      </c>
      <c r="M35" s="13" t="n">
        <v>1.81</v>
      </c>
      <c r="N35" s="12" t="n"/>
      <c r="P35" s="12" t="n">
        <v>1</v>
      </c>
      <c r="Q35" s="14" t="n">
        <v>19</v>
      </c>
      <c r="R35" s="14" t="n">
        <v>1.6</v>
      </c>
      <c r="S35" s="15" t="n">
        <v>17.4</v>
      </c>
      <c r="T35" s="12" t="n"/>
      <c r="U35" s="12" t="n"/>
      <c r="V35" s="105" t="n"/>
      <c r="W35" s="105" t="n"/>
      <c r="X35" s="12" t="n"/>
      <c r="Y35" s="12" t="n"/>
      <c r="Z35" s="12" t="n"/>
      <c r="AA35" s="12" t="n"/>
      <c r="AB35" s="105" t="n"/>
      <c r="AC35" s="106" t="n"/>
    </row>
    <row r="36" ht="30" customHeight="1" s="56">
      <c r="A36" s="12" t="inlineStr">
        <is>
          <t>2026-04-20</t>
        </is>
      </c>
      <c r="B36" s="12" t="inlineStr">
        <is>
          <t>Sun</t>
        </is>
      </c>
      <c r="C36" s="12" t="n">
        <v>4</v>
      </c>
      <c r="D36" s="12" t="inlineStr">
        <is>
          <t>Historical</t>
        </is>
      </c>
      <c r="E36" s="12" t="inlineStr">
        <is>
          <t>QQQ</t>
        </is>
      </c>
      <c r="F36" s="12" t="inlineStr">
        <is>
          <t>645C</t>
        </is>
      </c>
      <c r="G36" s="12" t="inlineStr">
        <is>
          <t>04/20/26</t>
        </is>
      </c>
      <c r="H36" s="12" t="inlineStr">
        <is>
          <t>Bullish</t>
        </is>
      </c>
      <c r="I36" s="12" t="inlineStr">
        <is>
          <t>09:38:05</t>
        </is>
      </c>
      <c r="J36" s="12" t="inlineStr">
        <is>
          <t>09:41:20</t>
        </is>
      </c>
      <c r="K36" s="12" t="n">
        <v>3</v>
      </c>
      <c r="L36" s="13" t="n">
        <v>1.25</v>
      </c>
      <c r="M36" s="13" t="n">
        <v>1.44</v>
      </c>
      <c r="N36" s="12" t="n"/>
      <c r="P36" s="12" t="n">
        <v>1</v>
      </c>
      <c r="Q36" s="14" t="n">
        <v>19</v>
      </c>
      <c r="R36" s="14" t="n">
        <v>1.6</v>
      </c>
      <c r="S36" s="15" t="n">
        <v>17.4</v>
      </c>
      <c r="T36" s="12" t="n"/>
      <c r="U36" s="12" t="n"/>
      <c r="V36" s="105" t="n"/>
      <c r="W36" s="105" t="n"/>
      <c r="X36" s="12" t="n"/>
      <c r="Y36" s="12" t="n"/>
      <c r="Z36" s="12" t="n"/>
      <c r="AA36" s="12" t="n"/>
      <c r="AB36" s="105" t="n"/>
      <c r="AC36" s="106" t="n"/>
    </row>
    <row r="37" ht="30" customHeight="1" s="56">
      <c r="A37" s="12" t="inlineStr">
        <is>
          <t>2026-04-21</t>
        </is>
      </c>
      <c r="B37" s="12" t="inlineStr">
        <is>
          <t>Mon</t>
        </is>
      </c>
      <c r="C37" s="12" t="n">
        <v>1</v>
      </c>
      <c r="D37" s="12" t="inlineStr">
        <is>
          <t>Historical</t>
        </is>
      </c>
      <c r="E37" s="12" t="inlineStr">
        <is>
          <t>QQQ</t>
        </is>
      </c>
      <c r="F37" s="12" t="inlineStr">
        <is>
          <t>650C</t>
        </is>
      </c>
      <c r="G37" s="12" t="inlineStr">
        <is>
          <t>04/21/26</t>
        </is>
      </c>
      <c r="H37" s="12" t="inlineStr">
        <is>
          <t>Bullish</t>
        </is>
      </c>
      <c r="I37" s="12" t="inlineStr">
        <is>
          <t>08:21:02</t>
        </is>
      </c>
      <c r="J37" s="12" t="inlineStr">
        <is>
          <t>08:40:28</t>
        </is>
      </c>
      <c r="K37" s="12" t="n">
        <v>19</v>
      </c>
      <c r="L37" s="13" t="n">
        <v>1</v>
      </c>
      <c r="M37" s="13" t="n">
        <v>0.88</v>
      </c>
      <c r="N37" s="12" t="n"/>
      <c r="P37" s="12" t="n">
        <v>1</v>
      </c>
      <c r="Q37" s="14" t="n">
        <v>-12</v>
      </c>
      <c r="R37" s="14" t="n">
        <v>1.6</v>
      </c>
      <c r="S37" s="17" t="n">
        <v>-13.6</v>
      </c>
      <c r="T37" s="12" t="n"/>
      <c r="U37" s="12" t="n"/>
      <c r="V37" s="105" t="n"/>
      <c r="W37" s="105" t="n"/>
      <c r="X37" s="12" t="n"/>
      <c r="Y37" s="12" t="n"/>
      <c r="Z37" s="12" t="n"/>
      <c r="AA37" s="12" t="n"/>
      <c r="AB37" s="105" t="n"/>
      <c r="AC37" s="106" t="n"/>
    </row>
    <row r="38" ht="30" customHeight="1" s="56">
      <c r="A38" s="12" t="inlineStr">
        <is>
          <t>2026-04-21</t>
        </is>
      </c>
      <c r="B38" s="12" t="inlineStr">
        <is>
          <t>Mon</t>
        </is>
      </c>
      <c r="C38" s="12" t="n">
        <v>2</v>
      </c>
      <c r="D38" s="12" t="inlineStr">
        <is>
          <t>Historical</t>
        </is>
      </c>
      <c r="E38" s="12" t="inlineStr">
        <is>
          <t>QQQ</t>
        </is>
      </c>
      <c r="F38" s="12" t="inlineStr">
        <is>
          <t>650C</t>
        </is>
      </c>
      <c r="G38" s="12" t="inlineStr">
        <is>
          <t>04/21/26</t>
        </is>
      </c>
      <c r="H38" s="12" t="inlineStr">
        <is>
          <t>Bullish</t>
        </is>
      </c>
      <c r="I38" s="12" t="inlineStr">
        <is>
          <t>08:42:19</t>
        </is>
      </c>
      <c r="J38" s="12" t="inlineStr">
        <is>
          <t>08:45:39</t>
        </is>
      </c>
      <c r="K38" s="12" t="n">
        <v>3</v>
      </c>
      <c r="L38" s="13" t="n">
        <v>1</v>
      </c>
      <c r="M38" s="13" t="n">
        <v>0.72</v>
      </c>
      <c r="N38" s="12" t="n"/>
      <c r="P38" s="12" t="n">
        <v>1</v>
      </c>
      <c r="Q38" s="14" t="n">
        <v>-28</v>
      </c>
      <c r="R38" s="14" t="n">
        <v>1.6</v>
      </c>
      <c r="S38" s="17" t="n">
        <v>-29.6</v>
      </c>
      <c r="T38" s="12" t="n"/>
      <c r="U38" s="12" t="n"/>
      <c r="V38" s="105" t="n"/>
      <c r="W38" s="105" t="n"/>
      <c r="X38" s="12" t="n"/>
      <c r="Y38" s="12" t="n"/>
      <c r="Z38" s="12" t="n"/>
      <c r="AA38" s="12" t="n"/>
      <c r="AB38" s="105" t="n"/>
      <c r="AC38" s="106" t="n"/>
    </row>
    <row r="39" ht="30" customHeight="1" s="56">
      <c r="A39" s="12" t="inlineStr">
        <is>
          <t>2026-04-21</t>
        </is>
      </c>
      <c r="B39" s="12" t="inlineStr">
        <is>
          <t>Mon</t>
        </is>
      </c>
      <c r="C39" s="12" t="n">
        <v>3</v>
      </c>
      <c r="D39" s="12" t="inlineStr">
        <is>
          <t>Historical</t>
        </is>
      </c>
      <c r="E39" s="12" t="inlineStr">
        <is>
          <t>QQQ</t>
        </is>
      </c>
      <c r="F39" s="12" t="inlineStr">
        <is>
          <t>650C</t>
        </is>
      </c>
      <c r="G39" s="12" t="inlineStr">
        <is>
          <t>04/21/26</t>
        </is>
      </c>
      <c r="H39" s="12" t="inlineStr">
        <is>
          <t>Bullish</t>
        </is>
      </c>
      <c r="I39" s="12" t="inlineStr">
        <is>
          <t>08:49:16</t>
        </is>
      </c>
      <c r="J39" s="12" t="inlineStr">
        <is>
          <t>08:55:07</t>
        </is>
      </c>
      <c r="K39" s="12" t="n">
        <v>6</v>
      </c>
      <c r="L39" s="13" t="n">
        <v>0.64</v>
      </c>
      <c r="M39" s="13" t="n">
        <v>0.55</v>
      </c>
      <c r="N39" s="12" t="n"/>
      <c r="P39" s="12" t="n">
        <v>1</v>
      </c>
      <c r="Q39" s="14" t="n">
        <v>-9</v>
      </c>
      <c r="R39" s="14" t="n">
        <v>1.6</v>
      </c>
      <c r="S39" s="17" t="n">
        <v>-10.6</v>
      </c>
      <c r="T39" s="12" t="n"/>
      <c r="U39" s="12" t="n"/>
      <c r="V39" s="105" t="n"/>
      <c r="W39" s="105" t="n"/>
      <c r="X39" s="12" t="n"/>
      <c r="Y39" s="12" t="n"/>
      <c r="Z39" s="12" t="n"/>
      <c r="AA39" s="12" t="n"/>
      <c r="AB39" s="105" t="n"/>
      <c r="AC39" s="106" t="n"/>
    </row>
    <row r="40" ht="30" customHeight="1" s="56">
      <c r="A40" s="12" t="inlineStr">
        <is>
          <t>2026-04-22</t>
        </is>
      </c>
      <c r="B40" s="12" t="inlineStr">
        <is>
          <t>Tue</t>
        </is>
      </c>
      <c r="C40" s="12" t="n">
        <v>1</v>
      </c>
      <c r="D40" s="12" t="inlineStr">
        <is>
          <t>Historical</t>
        </is>
      </c>
      <c r="E40" s="12" t="inlineStr">
        <is>
          <t>QQQ</t>
        </is>
      </c>
      <c r="F40" s="12" t="inlineStr">
        <is>
          <t>652P</t>
        </is>
      </c>
      <c r="G40" s="12" t="inlineStr">
        <is>
          <t>04/22/26</t>
        </is>
      </c>
      <c r="H40" s="12" t="inlineStr">
        <is>
          <t>Bearish</t>
        </is>
      </c>
      <c r="I40" s="12" t="inlineStr">
        <is>
          <t>08:40:05</t>
        </is>
      </c>
      <c r="J40" s="12" t="inlineStr">
        <is>
          <t>08:58:08</t>
        </is>
      </c>
      <c r="K40" s="12" t="n">
        <v>18</v>
      </c>
      <c r="L40" s="13" t="n">
        <v>1.2</v>
      </c>
      <c r="M40" s="13" t="n">
        <v>1.49</v>
      </c>
      <c r="N40" s="12" t="n"/>
      <c r="P40" s="12" t="n">
        <v>1</v>
      </c>
      <c r="Q40" s="14" t="n">
        <v>29</v>
      </c>
      <c r="R40" s="14" t="n">
        <v>1.6</v>
      </c>
      <c r="S40" s="15" t="n">
        <v>27.4</v>
      </c>
      <c r="T40" s="12" t="n"/>
      <c r="U40" s="12" t="n"/>
      <c r="V40" s="105" t="n"/>
      <c r="W40" s="105" t="n"/>
      <c r="X40" s="12" t="n"/>
      <c r="Y40" s="12" t="n"/>
      <c r="Z40" s="12" t="n"/>
      <c r="AA40" s="12" t="n"/>
      <c r="AB40" s="105" t="n"/>
      <c r="AC40" s="106" t="n"/>
    </row>
    <row r="41" ht="30" customHeight="1" s="56">
      <c r="A41" s="12" t="inlineStr">
        <is>
          <t>2026-04-22</t>
        </is>
      </c>
      <c r="B41" s="12" t="inlineStr">
        <is>
          <t>Tue</t>
        </is>
      </c>
      <c r="C41" s="12" t="n">
        <v>2</v>
      </c>
      <c r="D41" s="12" t="inlineStr">
        <is>
          <t>Historical</t>
        </is>
      </c>
      <c r="E41" s="12" t="inlineStr">
        <is>
          <t>QQQ</t>
        </is>
      </c>
      <c r="F41" s="12" t="inlineStr">
        <is>
          <t>654C</t>
        </is>
      </c>
      <c r="G41" s="12" t="inlineStr">
        <is>
          <t>04/22/26</t>
        </is>
      </c>
      <c r="H41" s="12" t="inlineStr">
        <is>
          <t>Bullish</t>
        </is>
      </c>
      <c r="I41" s="12" t="inlineStr">
        <is>
          <t>09:47:41</t>
        </is>
      </c>
      <c r="J41" s="12" t="inlineStr">
        <is>
          <t>09:57:23</t>
        </is>
      </c>
      <c r="K41" s="12" t="n">
        <v>10</v>
      </c>
      <c r="L41" s="13" t="n">
        <v>0.73</v>
      </c>
      <c r="M41" s="13" t="n">
        <v>0.72</v>
      </c>
      <c r="N41" s="12" t="n"/>
      <c r="P41" s="12" t="n">
        <v>1</v>
      </c>
      <c r="Q41" s="14" t="n">
        <v>-1</v>
      </c>
      <c r="R41" s="14" t="n">
        <v>1.6</v>
      </c>
      <c r="S41" s="14" t="n">
        <v>-2.6</v>
      </c>
      <c r="T41" s="12" t="n"/>
      <c r="U41" s="12" t="n"/>
      <c r="V41" s="105" t="n"/>
      <c r="W41" s="105" t="n"/>
      <c r="X41" s="12" t="n"/>
      <c r="Y41" s="12" t="n"/>
      <c r="Z41" s="12" t="n"/>
      <c r="AA41" s="12" t="n"/>
      <c r="AB41" s="105" t="n"/>
      <c r="AC41" s="106" t="n"/>
    </row>
    <row r="42" ht="30" customHeight="1" s="56">
      <c r="A42" s="12" t="inlineStr">
        <is>
          <t>2026-04-22</t>
        </is>
      </c>
      <c r="B42" s="12" t="inlineStr">
        <is>
          <t>Tue</t>
        </is>
      </c>
      <c r="C42" s="12" t="n">
        <v>3</v>
      </c>
      <c r="D42" s="12" t="inlineStr">
        <is>
          <t>Historical</t>
        </is>
      </c>
      <c r="E42" s="12" t="inlineStr">
        <is>
          <t>QQQ</t>
        </is>
      </c>
      <c r="F42" s="12" t="inlineStr">
        <is>
          <t>655C</t>
        </is>
      </c>
      <c r="G42" s="12" t="inlineStr">
        <is>
          <t>04/22/26</t>
        </is>
      </c>
      <c r="H42" s="12" t="inlineStr">
        <is>
          <t>Bullish</t>
        </is>
      </c>
      <c r="I42" s="12" t="inlineStr">
        <is>
          <t>11:49:24</t>
        </is>
      </c>
      <c r="J42" s="12" t="inlineStr">
        <is>
          <t>11:54:48</t>
        </is>
      </c>
      <c r="K42" s="12" t="n">
        <v>5</v>
      </c>
      <c r="L42" s="13" t="n">
        <v>0.45</v>
      </c>
      <c r="M42" s="13" t="n">
        <v>0.46</v>
      </c>
      <c r="N42" s="12" t="n"/>
      <c r="P42" s="12" t="n">
        <v>1</v>
      </c>
      <c r="Q42" s="14" t="n">
        <v>1</v>
      </c>
      <c r="R42" s="14" t="n">
        <v>1.6</v>
      </c>
      <c r="S42" s="14" t="n">
        <v>-0.6</v>
      </c>
      <c r="T42" s="12" t="n"/>
      <c r="U42" s="12" t="n"/>
      <c r="V42" s="105" t="n"/>
      <c r="W42" s="105" t="n"/>
      <c r="X42" s="12" t="n"/>
      <c r="Y42" s="12" t="n"/>
      <c r="Z42" s="12" t="n"/>
      <c r="AA42" s="12" t="n"/>
      <c r="AB42" s="105" t="n"/>
      <c r="AC42" s="106" t="n"/>
    </row>
    <row r="43" ht="30" customHeight="1" s="56">
      <c r="A43" s="12" t="inlineStr">
        <is>
          <t>2026-04-22</t>
        </is>
      </c>
      <c r="B43" s="12" t="inlineStr">
        <is>
          <t>Tue</t>
        </is>
      </c>
      <c r="C43" s="12" t="n">
        <v>4</v>
      </c>
      <c r="D43" s="12" t="inlineStr">
        <is>
          <t>Historical</t>
        </is>
      </c>
      <c r="E43" s="12" t="inlineStr">
        <is>
          <t>QQQ</t>
        </is>
      </c>
      <c r="F43" s="12" t="inlineStr">
        <is>
          <t>653C</t>
        </is>
      </c>
      <c r="G43" s="12" t="inlineStr">
        <is>
          <t>04/22/26</t>
        </is>
      </c>
      <c r="H43" s="12" t="inlineStr">
        <is>
          <t>Bullish</t>
        </is>
      </c>
      <c r="I43" s="12" t="inlineStr">
        <is>
          <t>12:21:04</t>
        </is>
      </c>
      <c r="J43" s="12" t="inlineStr">
        <is>
          <t>12:22:29</t>
        </is>
      </c>
      <c r="K43" s="12" t="n">
        <v>1</v>
      </c>
      <c r="L43" s="13" t="n">
        <v>1.07</v>
      </c>
      <c r="M43" s="13" t="n">
        <v>0.9399999999999999</v>
      </c>
      <c r="N43" s="12" t="n"/>
      <c r="P43" s="12" t="n">
        <v>1</v>
      </c>
      <c r="Q43" s="14" t="n">
        <v>-13</v>
      </c>
      <c r="R43" s="14" t="n">
        <v>1.6</v>
      </c>
      <c r="S43" s="17" t="n">
        <v>-14.6</v>
      </c>
      <c r="T43" s="12" t="n"/>
      <c r="U43" s="12" t="n"/>
      <c r="V43" s="105" t="n"/>
      <c r="W43" s="105" t="n"/>
      <c r="X43" s="12" t="n"/>
      <c r="Y43" s="12" t="n"/>
      <c r="Z43" s="12" t="n"/>
      <c r="AA43" s="12" t="n"/>
      <c r="AB43" s="105" t="n"/>
      <c r="AC43" s="106" t="n"/>
    </row>
    <row r="44" ht="30" customHeight="1" s="56">
      <c r="A44" s="12" t="inlineStr">
        <is>
          <t>2026-04-22</t>
        </is>
      </c>
      <c r="B44" s="12" t="inlineStr">
        <is>
          <t>Tue</t>
        </is>
      </c>
      <c r="C44" s="12" t="n">
        <v>5</v>
      </c>
      <c r="D44" s="12" t="inlineStr">
        <is>
          <t>Historical</t>
        </is>
      </c>
      <c r="E44" s="12" t="inlineStr">
        <is>
          <t>QQQ</t>
        </is>
      </c>
      <c r="F44" s="12" t="inlineStr">
        <is>
          <t>653C</t>
        </is>
      </c>
      <c r="G44" s="12" t="inlineStr">
        <is>
          <t>04/22/26</t>
        </is>
      </c>
      <c r="H44" s="12" t="inlineStr">
        <is>
          <t>Bullish</t>
        </is>
      </c>
      <c r="I44" s="12" t="inlineStr">
        <is>
          <t>12:26:17</t>
        </is>
      </c>
      <c r="J44" s="12" t="inlineStr">
        <is>
          <t>12:29:31</t>
        </is>
      </c>
      <c r="K44" s="12" t="n">
        <v>3</v>
      </c>
      <c r="L44" s="13" t="n">
        <v>1.05</v>
      </c>
      <c r="M44" s="13" t="n">
        <v>0.87</v>
      </c>
      <c r="N44" s="12" t="n"/>
      <c r="P44" s="12" t="n">
        <v>1</v>
      </c>
      <c r="Q44" s="14" t="n">
        <v>-18</v>
      </c>
      <c r="R44" s="14" t="n">
        <v>1.6</v>
      </c>
      <c r="S44" s="17" t="n">
        <v>-19.6</v>
      </c>
      <c r="T44" s="12" t="n"/>
      <c r="U44" s="12" t="n"/>
      <c r="V44" s="105" t="n"/>
      <c r="W44" s="105" t="n"/>
      <c r="X44" s="12" t="n"/>
      <c r="Y44" s="12" t="n"/>
      <c r="Z44" s="12" t="n"/>
      <c r="AA44" s="12" t="n"/>
      <c r="AB44" s="105" t="n"/>
      <c r="AC44" s="106" t="n"/>
    </row>
    <row r="45" ht="30" customHeight="1" s="56">
      <c r="A45" s="12" t="inlineStr">
        <is>
          <t>2026-04-23</t>
        </is>
      </c>
      <c r="B45" s="12" t="inlineStr">
        <is>
          <t>Wed</t>
        </is>
      </c>
      <c r="C45" s="12" t="n">
        <v>1</v>
      </c>
      <c r="D45" s="12" t="inlineStr">
        <is>
          <t>Historical</t>
        </is>
      </c>
      <c r="E45" s="12" t="inlineStr">
        <is>
          <t>QQQ</t>
        </is>
      </c>
      <c r="F45" s="12" t="inlineStr">
        <is>
          <t>656C</t>
        </is>
      </c>
      <c r="G45" s="12" t="inlineStr">
        <is>
          <t>04/23/26</t>
        </is>
      </c>
      <c r="H45" s="12" t="inlineStr">
        <is>
          <t>Bullish</t>
        </is>
      </c>
      <c r="I45" s="12" t="inlineStr">
        <is>
          <t>07:52:17</t>
        </is>
      </c>
      <c r="J45" s="12" t="inlineStr">
        <is>
          <t>07:55:04</t>
        </is>
      </c>
      <c r="K45" s="12" t="n">
        <v>3</v>
      </c>
      <c r="L45" s="13" t="n">
        <v>1.23</v>
      </c>
      <c r="M45" s="13" t="n">
        <v>1</v>
      </c>
      <c r="N45" s="12" t="n"/>
      <c r="P45" s="12" t="n">
        <v>1</v>
      </c>
      <c r="Q45" s="14" t="n">
        <v>-23</v>
      </c>
      <c r="R45" s="14" t="n">
        <v>1.6</v>
      </c>
      <c r="S45" s="17" t="n">
        <v>-24.6</v>
      </c>
      <c r="T45" s="12" t="n"/>
      <c r="U45" s="12" t="n"/>
      <c r="V45" s="105" t="n"/>
      <c r="W45" s="105" t="n"/>
      <c r="X45" s="12" t="n"/>
      <c r="Y45" s="12" t="n"/>
      <c r="Z45" s="12" t="n"/>
      <c r="AA45" s="12" t="n"/>
      <c r="AB45" s="105" t="n"/>
      <c r="AC45" s="106" t="n"/>
    </row>
    <row r="46" ht="30" customHeight="1" s="56">
      <c r="A46" s="12" t="inlineStr">
        <is>
          <t>2026-04-23</t>
        </is>
      </c>
      <c r="B46" s="12" t="inlineStr">
        <is>
          <t>Wed</t>
        </is>
      </c>
      <c r="C46" s="12" t="n">
        <v>2</v>
      </c>
      <c r="D46" s="12" t="inlineStr">
        <is>
          <t>Historical</t>
        </is>
      </c>
      <c r="E46" s="12" t="inlineStr">
        <is>
          <t>QQQ</t>
        </is>
      </c>
      <c r="F46" s="12" t="inlineStr">
        <is>
          <t>653P</t>
        </is>
      </c>
      <c r="G46" s="12" t="inlineStr">
        <is>
          <t>04/23/26</t>
        </is>
      </c>
      <c r="H46" s="12" t="inlineStr">
        <is>
          <t>Bearish</t>
        </is>
      </c>
      <c r="I46" s="12" t="inlineStr">
        <is>
          <t>08:05:09</t>
        </is>
      </c>
      <c r="J46" s="12" t="inlineStr">
        <is>
          <t>08:15:07</t>
        </is>
      </c>
      <c r="K46" s="12" t="n">
        <v>10</v>
      </c>
      <c r="L46" s="13" t="n">
        <v>1.58</v>
      </c>
      <c r="M46" s="13" t="n">
        <v>1.58</v>
      </c>
      <c r="N46" s="12" t="n"/>
      <c r="P46" s="12" t="n">
        <v>1</v>
      </c>
      <c r="Q46" s="14" t="n">
        <v>0</v>
      </c>
      <c r="R46" s="14" t="n">
        <v>1.6</v>
      </c>
      <c r="S46" s="14" t="n">
        <v>-1.6</v>
      </c>
      <c r="T46" s="12" t="n"/>
      <c r="U46" s="12" t="n"/>
      <c r="V46" s="105" t="n"/>
      <c r="W46" s="105" t="n"/>
      <c r="X46" s="12" t="n"/>
      <c r="Y46" s="12" t="n"/>
      <c r="Z46" s="12" t="n"/>
      <c r="AA46" s="12" t="n"/>
      <c r="AB46" s="105" t="n"/>
      <c r="AC46" s="106" t="n"/>
    </row>
    <row r="47" ht="30" customHeight="1" s="56">
      <c r="A47" s="18" t="inlineStr">
        <is>
          <t>2026-04-27</t>
        </is>
      </c>
      <c r="B47" s="18" t="inlineStr">
        <is>
          <t>Mon</t>
        </is>
      </c>
      <c r="C47" s="18" t="n">
        <v>1</v>
      </c>
      <c r="D47" s="18" t="inlineStr">
        <is>
          <t>Experiment Day 1</t>
        </is>
      </c>
      <c r="E47" s="18" t="inlineStr">
        <is>
          <t>QQQ</t>
        </is>
      </c>
      <c r="F47" s="18" t="inlineStr">
        <is>
          <t>663C</t>
        </is>
      </c>
      <c r="G47" s="18" t="inlineStr">
        <is>
          <t>04/27/26</t>
        </is>
      </c>
      <c r="H47" s="18" t="inlineStr">
        <is>
          <t>Bullish</t>
        </is>
      </c>
      <c r="I47" s="18" t="inlineStr">
        <is>
          <t>08:12:04</t>
        </is>
      </c>
      <c r="J47" s="18" t="inlineStr">
        <is>
          <t>08:24:05</t>
        </is>
      </c>
      <c r="K47" s="18" t="n">
        <v>12</v>
      </c>
      <c r="L47" s="19" t="n">
        <v>1.32</v>
      </c>
      <c r="M47" s="19" t="n">
        <v>1.04</v>
      </c>
      <c r="N47" s="19" t="n">
        <v>1.02</v>
      </c>
      <c r="O47" t="n">
        <v>1.02</v>
      </c>
      <c r="P47" s="18" t="n">
        <v>1</v>
      </c>
      <c r="Q47" s="20" t="n">
        <v>-28</v>
      </c>
      <c r="R47" s="20" t="n">
        <v>1.6</v>
      </c>
      <c r="S47" s="17" t="n">
        <v>-29.6</v>
      </c>
      <c r="T47" s="20" t="n">
        <v>30</v>
      </c>
      <c r="U47" s="21" t="n">
        <v>-0.99</v>
      </c>
      <c r="V47" s="107" t="inlineStr">
        <is>
          <t>Pullback long after morning flush</t>
        </is>
      </c>
      <c r="W47" s="107" t="inlineStr">
        <is>
          <t>Strong-&gt;Chop</t>
        </is>
      </c>
      <c r="X47" s="18" t="inlineStr">
        <is>
          <t>B+</t>
        </is>
      </c>
      <c r="Y47" s="18" t="inlineStr">
        <is>
          <t>Y</t>
        </is>
      </c>
      <c r="Z47" s="18" t="inlineStr">
        <is>
          <t>N</t>
        </is>
      </c>
      <c r="AA47" s="18" t="n">
        <v>8</v>
      </c>
      <c r="AB47" s="107" t="inlineStr">
        <is>
          <t>Setup invalidated as 5-min stoch crossed down. Held stop per plan. After stop, applied cool-down rule. Watched 660.50-&gt;663.70 bounce without entering. Skipped multiple B+ setups during chop. Closed platform without forcing trade #2.</t>
        </is>
      </c>
      <c r="AC47" s="106" t="inlineStr">
        <is>
          <t>Stop Hit</t>
        </is>
      </c>
    </row>
    <row r="48" ht="30" customHeight="1" s="56">
      <c r="A48" s="18" t="inlineStr">
        <is>
          <t>2026-04-28</t>
        </is>
      </c>
      <c r="B48" s="18" t="inlineStr">
        <is>
          <t>Tue</t>
        </is>
      </c>
      <c r="C48" s="18" t="n">
        <v>1</v>
      </c>
      <c r="D48" s="18" t="inlineStr">
        <is>
          <t>Experiment Day 2</t>
        </is>
      </c>
      <c r="E48" s="18" t="inlineStr">
        <is>
          <t>QQQ</t>
        </is>
      </c>
      <c r="F48" s="18" t="inlineStr">
        <is>
          <t>657C</t>
        </is>
      </c>
      <c r="G48" s="18" t="inlineStr">
        <is>
          <t>04/28/26</t>
        </is>
      </c>
      <c r="H48" s="18" t="inlineStr">
        <is>
          <t>Bullish</t>
        </is>
      </c>
      <c r="I48" s="18" t="inlineStr">
        <is>
          <t>07:56:58</t>
        </is>
      </c>
      <c r="J48" s="18" t="inlineStr">
        <is>
          <t>08:06:09</t>
        </is>
      </c>
      <c r="K48" s="18" t="n">
        <v>9</v>
      </c>
      <c r="L48" s="19" t="n">
        <v>2.11</v>
      </c>
      <c r="M48" s="19" t="n">
        <v>2.89</v>
      </c>
      <c r="N48" s="19" t="n">
        <v>1.91</v>
      </c>
      <c r="O48" t="n">
        <v>1.81</v>
      </c>
      <c r="P48" s="18" t="n">
        <v>1</v>
      </c>
      <c r="Q48" s="20" t="n">
        <v>78</v>
      </c>
      <c r="R48" s="20" t="n">
        <v>1.6</v>
      </c>
      <c r="S48" s="15" t="n">
        <v>76.40000000000001</v>
      </c>
      <c r="T48" s="20" t="n">
        <v>20</v>
      </c>
      <c r="U48" s="21" t="n">
        <v>3.82</v>
      </c>
      <c r="V48" s="107" t="inlineStr">
        <is>
          <t>Pullback long at support box (657.01-657.51)</t>
        </is>
      </c>
      <c r="W48" s="107" t="inlineStr">
        <is>
          <t>Strong (gap-down recovery)</t>
        </is>
      </c>
      <c r="X48" s="18" t="inlineStr">
        <is>
          <t>A</t>
        </is>
      </c>
      <c r="Y48" s="18" t="inlineStr">
        <is>
          <t>Y</t>
        </is>
      </c>
      <c r="Z48" s="18" t="inlineStr">
        <is>
          <t>N</t>
        </is>
      </c>
      <c r="AA48" s="18" t="n">
        <v>9</v>
      </c>
      <c r="AB48" s="107" t="inlineStr">
        <is>
          <t>Pre-market analysis identified gap-down recovery setup. Waited through 15-min rule. Watched first bounce without chasing. Identified 657.01-657.51 pullback box. Entered $2.11 on curl from oversold (textbook). Initial stop $1.91 ($20 risk). HELD past historical exit zone — let winner run. Exited $2.89 = +$76.40 = 3.82R. Best single trade ever recorded.</t>
        </is>
      </c>
      <c r="AC48" s="106" t="inlineStr">
        <is>
          <t>Manual at Structure</t>
        </is>
      </c>
    </row>
    <row r="49" ht="30" customHeight="1" s="56">
      <c r="A49" s="23" t="inlineStr">
        <is>
          <t>2026-04-29</t>
        </is>
      </c>
      <c r="B49" s="23" t="inlineStr">
        <is>
          <t>Wed</t>
        </is>
      </c>
      <c r="C49" s="23" t="n">
        <v>0</v>
      </c>
      <c r="D49" s="23" t="inlineStr">
        <is>
          <t>Experiment Day 3</t>
        </is>
      </c>
      <c r="E49" s="23" t="inlineStr">
        <is>
          <t>—</t>
        </is>
      </c>
      <c r="F49" s="23" t="inlineStr">
        <is>
          <t>NO LIVE TRADES</t>
        </is>
      </c>
      <c r="G49" s="23" t="inlineStr">
        <is>
          <t>—</t>
        </is>
      </c>
      <c r="H49" s="23" t="inlineStr">
        <is>
          <t>N/A</t>
        </is>
      </c>
      <c r="I49" s="23" t="inlineStr">
        <is>
          <t>—</t>
        </is>
      </c>
      <c r="J49" s="23" t="inlineStr">
        <is>
          <t>—</t>
        </is>
      </c>
      <c r="K49" s="23" t="n">
        <v>0</v>
      </c>
      <c r="L49" s="23" t="n"/>
      <c r="M49" s="23" t="n"/>
      <c r="N49" s="23" t="n"/>
      <c r="O49" t="inlineStr">
        <is>
          <t>—</t>
        </is>
      </c>
      <c r="P49" s="23" t="n">
        <v>0</v>
      </c>
      <c r="Q49" s="23" t="n">
        <v>0</v>
      </c>
      <c r="R49" s="23" t="n">
        <v>0</v>
      </c>
      <c r="S49" s="23" t="n">
        <v>0</v>
      </c>
      <c r="T49" s="23" t="n">
        <v>0</v>
      </c>
      <c r="U49" s="23" t="n">
        <v>0</v>
      </c>
      <c r="V49" s="33" t="inlineStr">
        <is>
          <t>DISCIPLINE DAY — Fed Day SIM only</t>
        </is>
      </c>
      <c r="W49" s="33" t="inlineStr">
        <is>
          <t>Fed FOMC announcement</t>
        </is>
      </c>
      <c r="X49" s="23" t="inlineStr">
        <is>
          <t>A+</t>
        </is>
      </c>
      <c r="Y49" s="23" t="inlineStr">
        <is>
          <t>Y</t>
        </is>
      </c>
      <c r="Z49" s="23" t="inlineStr">
        <is>
          <t>N</t>
        </is>
      </c>
      <c r="AA49" s="23" t="n">
        <v>9</v>
      </c>
      <c r="AB49" s="33" t="inlineStr">
        <is>
          <t>FED DAY (FOMC + Powell press conf at 12:00/12:30 MT). Made decision pre-open to SIM-only on Fed day. Took 1 SIM trade in morning (+$31 SIM, validated A+ setup still fires in pre-Fed regime). Did NOT go live despite winning SIM. Held discipline through the entire pre-Fed session. KEY LESSON: Discipline of skipping live trading when regime is unfavorable counts as much as taking winning trades.</t>
        </is>
      </c>
      <c r="AC49" s="106" t="inlineStr">
        <is>
          <t>N/A (No Trade)</t>
        </is>
      </c>
    </row>
    <row r="50" ht="30" customHeight="1" s="56">
      <c r="A50" s="44" t="inlineStr">
        <is>
          <t>2026-04-30</t>
        </is>
      </c>
      <c r="B50" s="44" t="inlineStr">
        <is>
          <t>Thu</t>
        </is>
      </c>
      <c r="C50" s="44" t="n">
        <v>1</v>
      </c>
      <c r="D50" s="44" t="inlineStr">
        <is>
          <t>Experiment Day 4</t>
        </is>
      </c>
      <c r="E50" s="44" t="inlineStr">
        <is>
          <t>QQQ</t>
        </is>
      </c>
      <c r="F50" s="44" t="inlineStr">
        <is>
          <t>Long Call</t>
        </is>
      </c>
      <c r="G50" s="44" t="inlineStr">
        <is>
          <t>04/30/26</t>
        </is>
      </c>
      <c r="H50" s="44" t="inlineStr">
        <is>
          <t>Bullish</t>
        </is>
      </c>
      <c r="I50" s="44" t="inlineStr">
        <is>
          <t>07:46</t>
        </is>
      </c>
      <c r="J50" s="44" t="inlineStr">
        <is>
          <t>08:00</t>
        </is>
      </c>
      <c r="K50" s="44" t="n">
        <v>14</v>
      </c>
      <c r="L50" s="45" t="n">
        <v>2.69</v>
      </c>
      <c r="M50" s="45" t="n">
        <v>2.37</v>
      </c>
      <c r="N50" s="45" t="n">
        <v>2.39</v>
      </c>
      <c r="O50" t="n">
        <v>2.39</v>
      </c>
      <c r="P50" s="44" t="n">
        <v>1</v>
      </c>
      <c r="Q50" s="45" t="n">
        <v>-32</v>
      </c>
      <c r="R50" s="45" t="n">
        <v>1.6</v>
      </c>
      <c r="S50" s="46" t="n">
        <v>-33.6</v>
      </c>
      <c r="T50" s="45" t="n">
        <v>30</v>
      </c>
      <c r="U50" s="47" t="n">
        <v>-1.12</v>
      </c>
      <c r="V50" s="108" t="inlineStr">
        <is>
          <t>Pullback long at red 200 MA support after 666 rejection</t>
        </is>
      </c>
      <c r="W50" s="108" t="inlineStr">
        <is>
          <t>Failed bounce / corrective regime</t>
        </is>
      </c>
      <c r="X50" s="44" t="inlineStr">
        <is>
          <t>A-</t>
        </is>
      </c>
      <c r="Y50" s="44" t="inlineStr">
        <is>
          <t>Y</t>
        </is>
      </c>
      <c r="Z50" s="44" t="inlineStr">
        <is>
          <t>N</t>
        </is>
      </c>
      <c r="AA50" s="44" t="n">
        <v>7</v>
      </c>
      <c r="AB50" s="108" t="inlineStr">
        <is>
          <t>Setup criteria met (1-min curl from oversold at 661 red 200 MA support after Fed-day gap-up rejection from 666). However regime had shifted to corrective. Bullish thesis failed quickly - 1-min stoch hit 100 fast indicating momentum exhaustion right after entry. Stop honored cleanly. Did NOT take second live trade despite cool-down clearing. Recognized regime mismatch and stood down. KEY: Initiated bearish paper-trade research after observing A+ bear setup form at 8:07 MT during cool-down. Day 4 turned into regime-shift learning day rather than make-back attempt.</t>
        </is>
      </c>
      <c r="AC50" s="106" t="inlineStr">
        <is>
          <t>Stop Hit</t>
        </is>
      </c>
    </row>
    <row r="51" ht="30" customHeight="1" s="56">
      <c r="A51" s="89" t="n">
        <v>46143</v>
      </c>
      <c r="B51" s="74" t="inlineStr">
        <is>
          <t>Fri</t>
        </is>
      </c>
      <c r="C51" s="74" t="n">
        <v>6</v>
      </c>
      <c r="D51" s="74" t="inlineStr">
        <is>
          <t>Experiment Day 5</t>
        </is>
      </c>
      <c r="E51" s="74" t="inlineStr">
        <is>
          <t>QQQ</t>
        </is>
      </c>
      <c r="F51" s="74" t="inlineStr">
        <is>
          <t>673C</t>
        </is>
      </c>
      <c r="G51" s="89" t="n">
        <v>46143</v>
      </c>
      <c r="H51" s="74" t="inlineStr">
        <is>
          <t>Long</t>
        </is>
      </c>
      <c r="I51" s="75" t="n">
        <v>46143.3594212963</v>
      </c>
      <c r="J51" s="75" t="n">
        <v>46143.3709375</v>
      </c>
      <c r="K51" s="74" t="n">
        <v>16.58</v>
      </c>
      <c r="L51" s="76" t="n">
        <v>1.35</v>
      </c>
      <c r="M51" s="76" t="n">
        <v>1.97</v>
      </c>
      <c r="N51" s="76" t="n">
        <v>1.8</v>
      </c>
      <c r="O51" s="77" t="n">
        <v>1.05</v>
      </c>
      <c r="P51" s="74" t="n">
        <v>1</v>
      </c>
      <c r="Q51" s="78" t="n">
        <v>62</v>
      </c>
      <c r="R51" s="78" t="n">
        <v>1.6</v>
      </c>
      <c r="S51" s="79" t="n">
        <v>60.4</v>
      </c>
      <c r="T51" s="78" t="n">
        <v>30</v>
      </c>
      <c r="U51" s="80" t="n">
        <v>2.01</v>
      </c>
      <c r="V51" s="109" t="inlineStr">
        <is>
          <t>A+ Bullish Pullback</t>
        </is>
      </c>
      <c r="W51" s="109" t="inlineStr">
        <is>
          <t>Bullish post-ISM, multi-tf stoch reset</t>
        </is>
      </c>
      <c r="X51" s="74" t="inlineStr">
        <is>
          <t>A</t>
        </is>
      </c>
      <c r="Y51" s="74" t="inlineStr">
        <is>
          <t>Yes</t>
        </is>
      </c>
      <c r="Z51" s="74" t="inlineStr">
        <is>
          <t>No</t>
        </is>
      </c>
      <c r="AA51" s="74" t="n">
        <v>9</v>
      </c>
      <c r="AB51" s="109" t="inlineStr">
        <is>
          <t>Broke $43 historical win ceiling. Entered on curl not cross. 4 rejections at 674, exited at structural level before 5th test. Held through give-back +53 to +23 to +61. Stop hardcoded 30c on entry, manually trailed BE -&gt; +45 -&gt; +50 -&gt; +15 lock as structure evolved. Final exit manual at 1.97. Disciplined exit at end-of-nerve. No rule violations.</t>
        </is>
      </c>
      <c r="AC51" s="110" t="inlineStr">
        <is>
          <t>Manual at Structure</t>
        </is>
      </c>
    </row>
    <row r="52" ht="30" customHeight="1" s="56">
      <c r="A52" s="90" t="n">
        <v>46146</v>
      </c>
      <c r="B52" s="83" t="inlineStr">
        <is>
          <t>Mon</t>
        </is>
      </c>
      <c r="C52" s="83" t="n">
        <v>0</v>
      </c>
      <c r="D52" s="83" t="inlineStr">
        <is>
          <t>Experiment Day 6</t>
        </is>
      </c>
      <c r="E52" s="83" t="inlineStr">
        <is>
          <t>—</t>
        </is>
      </c>
      <c r="F52" s="83" t="inlineStr">
        <is>
          <t>NO LIVE TRADES</t>
        </is>
      </c>
      <c r="G52" s="90" t="inlineStr">
        <is>
          <t>—</t>
        </is>
      </c>
      <c r="H52" s="83" t="inlineStr">
        <is>
          <t>N/A</t>
        </is>
      </c>
      <c r="I52" s="84" t="inlineStr">
        <is>
          <t>—</t>
        </is>
      </c>
      <c r="J52" s="84" t="inlineStr">
        <is>
          <t>—</t>
        </is>
      </c>
      <c r="K52" s="83" t="n">
        <v>0</v>
      </c>
      <c r="L52" s="83" t="n"/>
      <c r="M52" s="83" t="n"/>
      <c r="N52" s="83" t="n"/>
      <c r="O52" s="85" t="inlineStr">
        <is>
          <t>—</t>
        </is>
      </c>
      <c r="P52" s="83" t="n">
        <v>0</v>
      </c>
      <c r="Q52" s="83" t="n">
        <v>0</v>
      </c>
      <c r="R52" s="83" t="n">
        <v>0</v>
      </c>
      <c r="S52" s="83" t="n">
        <v>0</v>
      </c>
      <c r="T52" s="83" t="n">
        <v>0</v>
      </c>
      <c r="U52" s="83" t="n">
        <v>0</v>
      </c>
      <c r="V52" s="111" t="inlineStr">
        <is>
          <t>Discipline Day</t>
        </is>
      </c>
      <c r="W52" s="111" t="inlineStr">
        <is>
          <t>Range chop 674-676</t>
        </is>
      </c>
      <c r="X52" s="83" t="inlineStr">
        <is>
          <t>A+ (No Trade)</t>
        </is>
      </c>
      <c r="Y52" s="83" t="inlineStr">
        <is>
          <t>Yes</t>
        </is>
      </c>
      <c r="Z52" s="83" t="inlineStr">
        <is>
          <t>No</t>
        </is>
      </c>
      <c r="AA52" s="83" t="n">
        <v>7</v>
      </c>
      <c r="AB52" s="111" t="inlineStr">
        <is>
          <t>Range-bound chop. 4 rejections at 676, failed breakout 8:53. No A+ pullback to real support (5-min 21 EMA at 674.75 never tested post-open). Closed platform 9:08 MT. Mid-day flushed to 669 confirming regime instability post-close.</t>
        </is>
      </c>
      <c r="AC52" s="112" t="inlineStr">
        <is>
          <t>N/A (No Trade)</t>
        </is>
      </c>
    </row>
    <row r="53" ht="30" customHeight="1" s="56">
      <c r="A53" s="90" t="n">
        <v>46147</v>
      </c>
      <c r="B53" s="83" t="inlineStr">
        <is>
          <t>Tue</t>
        </is>
      </c>
      <c r="C53" s="83" t="n">
        <v>0</v>
      </c>
      <c r="D53" s="83" t="inlineStr">
        <is>
          <t>Experiment Day 7</t>
        </is>
      </c>
      <c r="E53" s="83" t="inlineStr">
        <is>
          <t>—</t>
        </is>
      </c>
      <c r="F53" s="83" t="inlineStr">
        <is>
          <t>NO LIVE TRADES</t>
        </is>
      </c>
      <c r="G53" s="90" t="inlineStr">
        <is>
          <t>—</t>
        </is>
      </c>
      <c r="H53" s="83" t="inlineStr">
        <is>
          <t>N/A</t>
        </is>
      </c>
      <c r="I53" s="84" t="inlineStr">
        <is>
          <t>—</t>
        </is>
      </c>
      <c r="J53" s="84" t="inlineStr">
        <is>
          <t>—</t>
        </is>
      </c>
      <c r="K53" s="83" t="n">
        <v>0</v>
      </c>
      <c r="L53" s="83" t="n"/>
      <c r="M53" s="83" t="n"/>
      <c r="N53" s="83" t="n"/>
      <c r="O53" s="85" t="inlineStr">
        <is>
          <t>—</t>
        </is>
      </c>
      <c r="P53" s="83" t="n">
        <v>0</v>
      </c>
      <c r="Q53" s="83" t="n">
        <v>0</v>
      </c>
      <c r="R53" s="83" t="n">
        <v>0</v>
      </c>
      <c r="S53" s="83" t="n">
        <v>0</v>
      </c>
      <c r="T53" s="83" t="n">
        <v>0</v>
      </c>
      <c r="U53" s="83" t="n">
        <v>0</v>
      </c>
      <c r="V53" s="111" t="inlineStr">
        <is>
          <t>Discipline Day</t>
        </is>
      </c>
      <c r="W53" s="111" t="inlineStr">
        <is>
          <t>Gap-up post-ISM, B+ setups only</t>
        </is>
      </c>
      <c r="X53" s="83" t="inlineStr">
        <is>
          <t>A+ (No Trade)</t>
        </is>
      </c>
      <c r="Y53" s="83" t="inlineStr">
        <is>
          <t>Yes</t>
        </is>
      </c>
      <c r="Z53" s="83" t="inlineStr">
        <is>
          <t>No</t>
        </is>
      </c>
      <c r="AA53" s="83" t="n">
        <v>8</v>
      </c>
      <c r="AB53" s="111" t="inlineStr">
        <is>
          <t>ISM Services 53.6 / JOLTs 6.866M / New Home Sales beat = mildly dovish. Print spike 678-&gt;684, reversal to 679. Three B+ setups skipped (1-min curls without 5-min participation). One ran ~1.7pts (would have been ~$50-70). A+ requires multi-tf alignment AND price at REAL support.</t>
        </is>
      </c>
      <c r="AC53" s="112" t="inlineStr">
        <is>
          <t>N/A (No Trade)</t>
        </is>
      </c>
    </row>
    <row r="54" ht="30" customHeight="1" s="56">
      <c r="A54" s="89" t="n">
        <v>46148</v>
      </c>
      <c r="B54" s="74" t="inlineStr">
        <is>
          <t>Wed</t>
        </is>
      </c>
      <c r="C54" s="74" t="n">
        <v>7</v>
      </c>
      <c r="D54" s="74" t="inlineStr">
        <is>
          <t>Experiment Day 8</t>
        </is>
      </c>
      <c r="E54" s="74" t="inlineStr">
        <is>
          <t>AAPL</t>
        </is>
      </c>
      <c r="F54" s="74" t="inlineStr">
        <is>
          <t>285C</t>
        </is>
      </c>
      <c r="G54" s="89" t="n">
        <v>46150</v>
      </c>
      <c r="H54" s="74" t="inlineStr">
        <is>
          <t>Long</t>
        </is>
      </c>
      <c r="I54" s="75" t="n">
        <v>46148.37171296297</v>
      </c>
      <c r="J54" s="75" t="n">
        <v>46148.38074074074</v>
      </c>
      <c r="K54" s="74" t="n">
        <v>13</v>
      </c>
      <c r="L54" s="76" t="n">
        <v>2.4</v>
      </c>
      <c r="M54" s="76" t="n">
        <v>2.1</v>
      </c>
      <c r="N54" s="76" t="n">
        <v>2.1</v>
      </c>
      <c r="O54" s="77" t="n">
        <v>2.1</v>
      </c>
      <c r="P54" s="74" t="n">
        <v>1</v>
      </c>
      <c r="Q54" s="78" t="n">
        <v>-30</v>
      </c>
      <c r="R54" s="78" t="n">
        <v>1.6</v>
      </c>
      <c r="S54" s="87" t="n">
        <v>-31.6</v>
      </c>
      <c r="T54" s="78" t="n">
        <v>30</v>
      </c>
      <c r="U54" s="80" t="n">
        <v>-1.05</v>
      </c>
      <c r="V54" s="109" t="inlineStr">
        <is>
          <t>A+ Bullish Pullback</t>
        </is>
      </c>
      <c r="W54" s="109" t="inlineStr">
        <is>
          <t>Bullish gap-up, 15-min stoch reset finally on higher tf</t>
        </is>
      </c>
      <c r="X54" s="74" t="inlineStr">
        <is>
          <t>A (process)</t>
        </is>
      </c>
      <c r="Y54" s="74" t="inlineStr">
        <is>
          <t>Yes (process)</t>
        </is>
      </c>
      <c r="Z54" s="74" t="inlineStr">
        <is>
          <t>No</t>
        </is>
      </c>
      <c r="AA54" s="74" t="n">
        <v>8</v>
      </c>
      <c r="AB54" s="109" t="inlineStr">
        <is>
          <t>First non-QQQ trade - TICKER DEVIATION FLAGGED. AAPL 260508C285 (T+2, not 0DTE - EXPIRY DEVIATION FLAGGED). Hardcoded SBA stop placed 5 sec after entry - best stop discipline of experiment. Setup invalidated quickly, stop hit precisely at 30c. No widening, no averaging, no hesitation. Process A across the board. QQQ-only and 0DTE-only LOCKED IN for Days 9-20. Earlier 8:03 QQQ setup had 5-min stoch at 89 (elevated) - coach applied stricter reset interpretation; setup met written criteria. Skipped, ran ~$2 underlying. Definitional ambiguity flagged for Day 20 review.</t>
        </is>
      </c>
      <c r="AC54" s="110" t="inlineStr">
        <is>
          <t>Stop Hit</t>
        </is>
      </c>
    </row>
    <row r="55" ht="30" customHeight="1" s="56">
      <c r="A55" s="89" t="n">
        <v>46149</v>
      </c>
      <c r="B55" s="74" t="inlineStr">
        <is>
          <t>Thu</t>
        </is>
      </c>
      <c r="C55" s="74" t="n">
        <v>8</v>
      </c>
      <c r="D55" s="74" t="inlineStr">
        <is>
          <t>Experiment Day 9</t>
        </is>
      </c>
      <c r="E55" s="74" t="inlineStr">
        <is>
          <t>QQQ</t>
        </is>
      </c>
      <c r="F55" s="74" t="inlineStr">
        <is>
          <t>696C (1DTE - ACCIDENTAL)</t>
        </is>
      </c>
      <c r="G55" s="89" t="n">
        <v>46150</v>
      </c>
      <c r="H55" s="74" t="inlineStr">
        <is>
          <t>Long</t>
        </is>
      </c>
      <c r="I55" s="75" t="n">
        <v>46149.32517361111</v>
      </c>
      <c r="J55" s="75" t="n">
        <v>46149.34439814815</v>
      </c>
      <c r="K55" s="74" t="n">
        <v>27.7</v>
      </c>
      <c r="L55" s="76" t="n">
        <v>3.76</v>
      </c>
      <c r="M55" s="76" t="n">
        <v>5.43</v>
      </c>
      <c r="N55" s="76" t="n">
        <v>4.76</v>
      </c>
      <c r="O55" s="77" t="n">
        <v>3.46</v>
      </c>
      <c r="P55" s="74" t="n">
        <v>1</v>
      </c>
      <c r="Q55" s="78" t="n">
        <v>167</v>
      </c>
      <c r="R55" s="78" t="n">
        <v>1.6</v>
      </c>
      <c r="S55" s="79" t="n">
        <v>165.4</v>
      </c>
      <c r="T55" s="78" t="n">
        <v>30</v>
      </c>
      <c r="U55" s="80" t="n">
        <v>5.51</v>
      </c>
      <c r="V55" s="109" t="inlineStr">
        <is>
          <t>A+ Bullish Pullback (multi-tf alignment)</t>
        </is>
      </c>
      <c r="W55" s="109" t="inlineStr">
        <is>
          <t>Strong trend, clean structure</t>
        </is>
      </c>
      <c r="X55" s="74" t="inlineStr">
        <is>
          <t>A+</t>
        </is>
      </c>
      <c r="Y55" s="74" t="inlineStr">
        <is>
          <t>Yes (CONTRACT EXPIRY VIOLATION - accidental 1DTE instead of 0DTE)</t>
        </is>
      </c>
      <c r="Z55" s="74" t="inlineStr">
        <is>
          <t>No</t>
        </is>
      </c>
      <c r="AA55" s="74" t="n">
        <v>9</v>
      </c>
      <c r="AB55" s="109" t="inlineStr">
        <is>
          <t>BEST DISCIPLINED TRADE OF EXPERIMENT. Multi-tf alignment achieved at 695.93 (1-min curl + 2-min reset + 5-min fast at floor). Hardcoded SBA stop placed 12 sec after entry. Trailed structurally: BE -&gt; +25 -&gt; +40 -&gt; +60 -&gt; +80 -&gt; +100 lock. Held through give-backs. Did NOT exit at $60 (Day 5 ceiling), did NOT exit at $137 (peak). Manual market exit at 5.43 on structural rejection of 699. ACCIDENTAL CONTRACT DEVIATION: 1DTE instead of 0DTE - higher delta contributed to dollar outcome. Estimated comparable 0DTE: +$80-130 net. WORKFLOW FIX: pre-trade verification protocol added.</t>
        </is>
      </c>
      <c r="AC55" s="110" t="inlineStr">
        <is>
          <t>Manual at Structure</t>
        </is>
      </c>
    </row>
    <row r="56" ht="30" customHeight="1" s="56">
      <c r="A56" s="89" t="n">
        <v>46150</v>
      </c>
      <c r="B56" s="74" t="inlineStr">
        <is>
          <t>Fri</t>
        </is>
      </c>
      <c r="C56" s="74" t="n">
        <v>9</v>
      </c>
      <c r="D56" s="74" t="inlineStr">
        <is>
          <t>Experiment Day 10</t>
        </is>
      </c>
      <c r="E56" s="74" t="inlineStr">
        <is>
          <t>QQQ</t>
        </is>
      </c>
      <c r="F56" s="74" t="inlineStr">
        <is>
          <t>705C</t>
        </is>
      </c>
      <c r="G56" s="89" t="n">
        <v>46150</v>
      </c>
      <c r="H56" s="74" t="inlineStr">
        <is>
          <t>Long</t>
        </is>
      </c>
      <c r="I56" s="75" t="n">
        <v>46150.35961805555</v>
      </c>
      <c r="J56" s="75" t="n">
        <v>46150.38179398148</v>
      </c>
      <c r="K56" s="74" t="n">
        <v>32</v>
      </c>
      <c r="L56" s="76" t="n">
        <v>1.86</v>
      </c>
      <c r="M56" s="76" t="n">
        <v>2.77</v>
      </c>
      <c r="N56" s="76" t="n">
        <v>2.81</v>
      </c>
      <c r="O56" s="77" t="n">
        <v>1.56</v>
      </c>
      <c r="P56" s="74" t="n">
        <v>1</v>
      </c>
      <c r="Q56" s="78" t="n">
        <v>91</v>
      </c>
      <c r="R56" s="78" t="n">
        <v>1.6</v>
      </c>
      <c r="S56" s="79" t="n">
        <v>89.40000000000001</v>
      </c>
      <c r="T56" s="78" t="n">
        <v>30</v>
      </c>
      <c r="U56" s="80" t="n">
        <v>2.98</v>
      </c>
      <c r="V56" s="109" t="inlineStr">
        <is>
          <t>A+ Bullish Pullback</t>
        </is>
      </c>
      <c r="W56" s="109" t="inlineStr">
        <is>
          <t>Strong trend post-NFP beat</t>
        </is>
      </c>
      <c r="X56" s="74" t="inlineStr">
        <is>
          <t>A</t>
        </is>
      </c>
      <c r="Y56" s="74" t="inlineStr">
        <is>
          <t>Yes</t>
        </is>
      </c>
      <c r="Z56" s="74" t="inlineStr">
        <is>
          <t>No</t>
        </is>
      </c>
      <c r="AA56" s="74" t="n">
        <v>9</v>
      </c>
      <c r="AB56" s="109" t="inlineStr">
        <is>
          <t>Day 10 - First trade using new Structural Trail Stop methodology. NFP April 115K vs 62K consensus = strong beat, gap up from ~694 to 706+. Waited 1+ hour for real setup vs chasing pre-market spike. Multi-tf alignment achieved at 5-min EMA zone (~704-705). 1-min curl entry. Hardcoded 30c initial stop, manually trailed structurally. Held through every historical psychological exit point ($43, $57, $73, $102). Stop caught structural breakdown of 5-min stoch with slippage (filled $2.77 vs stop level $2.81 = 4c slippage = acceptable cost of SBA market stops). Exit method = Stop Hit (NOT manual at nerve - first clean execution of new methodology).</t>
        </is>
      </c>
      <c r="AC56" s="110" t="inlineStr">
        <is>
          <t>Stop Hit</t>
        </is>
      </c>
    </row>
    <row r="57" ht="30" customHeight="1" s="56">
      <c r="A57" s="91" t="n">
        <v>46153</v>
      </c>
      <c r="B57" s="92" t="inlineStr">
        <is>
          <t>Mon</t>
        </is>
      </c>
      <c r="C57" s="92" t="n">
        <v>0</v>
      </c>
      <c r="D57" s="92" t="inlineStr">
        <is>
          <t>Experiment Day 11</t>
        </is>
      </c>
      <c r="E57" s="92" t="inlineStr">
        <is>
          <t>—</t>
        </is>
      </c>
      <c r="F57" s="92" t="inlineStr">
        <is>
          <t>NO LIVE TRADES</t>
        </is>
      </c>
      <c r="G57" s="92" t="inlineStr">
        <is>
          <t>—</t>
        </is>
      </c>
      <c r="H57" s="92" t="inlineStr">
        <is>
          <t>N/A</t>
        </is>
      </c>
      <c r="I57" s="92" t="inlineStr">
        <is>
          <t>—</t>
        </is>
      </c>
      <c r="J57" s="92" t="inlineStr">
        <is>
          <t>—</t>
        </is>
      </c>
      <c r="K57" s="92" t="n">
        <v>0</v>
      </c>
      <c r="L57" s="93" t="n"/>
      <c r="M57" s="93" t="n"/>
      <c r="N57" s="93" t="n"/>
      <c r="O57" s="93" t="n"/>
      <c r="P57" s="92" t="n">
        <v>0</v>
      </c>
      <c r="Q57" s="94" t="n">
        <v>0</v>
      </c>
      <c r="R57" s="94" t="n">
        <v>0</v>
      </c>
      <c r="S57" s="94" t="n">
        <v>0</v>
      </c>
      <c r="T57" s="94" t="n">
        <v>0</v>
      </c>
      <c r="U57" s="95" t="n">
        <v>0</v>
      </c>
      <c r="V57" s="113" t="inlineStr">
        <is>
          <t>Discipline Day</t>
        </is>
      </c>
      <c r="W57" s="113" t="inlineStr">
        <is>
          <t>V-recovery into 712.50 supply; post-NFP digestion, pre-CPI</t>
        </is>
      </c>
      <c r="X57" s="92" t="inlineStr">
        <is>
          <t>A+ (No Trade)</t>
        </is>
      </c>
      <c r="Y57" s="92" t="inlineStr">
        <is>
          <t>Yes</t>
        </is>
      </c>
      <c r="Z57" s="92" t="inlineStr">
        <is>
          <t>No</t>
        </is>
      </c>
      <c r="AA57" s="92" t="n">
        <v>7</v>
      </c>
      <c r="AB57" s="113" t="inlineStr">
        <is>
          <t>Pre-CPI digestion day. 15-min trend up intact but tested (deepest pullback of the move held 15-min 50 EMA at 709.78). Two A+ candidates: (1) 7:42 MT bullish curl at MA cluster ~711 — disqualified by 7:30-7:45 no-trade window (correctly skipped). (2) 8:32 MT bullish curl off 15-min 50 EMA at 709.78 after deep flush — full multi-tf alignment (1-min yellow 15 crossed white 12 at floor, 2-min crossed up from support, 15-min stoch reset to 9.36, price at macro support). Skipped on real-time read citing 5-min yellow at 0 not yet "climbing." Move ran 709.78 → 713.34 (+$3.56 underlying / est +$120-180 on 0DTE). COACHING DEBRIEF: over-strict interpretation of 5-min "climbing." When 15-min stoch is in fresh deep reset and price at meaningful macro support, 5-min "climbing" criterion is satisfied by POSITION (yellow in support zone, ready to turn) — bar-over-bar rise lags the 1-min curl by definition. Same definitional issue as Day 8 8:03 setup. Refined interpretation logged for Days 12-20. Rejected 3 B-grade bounce attempts (7:50, 7:58, 8:01) in 711-712 chop range — all correctly skipped. Did not chase 712.69 V-recovery into known 712.50 supply with overbought stochs. Stopped 9:11 MT.</t>
        </is>
      </c>
      <c r="AC57" s="113" t="inlineStr">
        <is>
          <t>N/A No Trade</t>
        </is>
      </c>
    </row>
    <row r="58" ht="30" customHeight="1" s="56">
      <c r="A58" s="91" t="n">
        <v>46154</v>
      </c>
      <c r="B58" s="92" t="inlineStr">
        <is>
          <t>Tue</t>
        </is>
      </c>
      <c r="C58" s="92" t="n">
        <v>0</v>
      </c>
      <c r="D58" s="92" t="inlineStr">
        <is>
          <t>Experiment Day 12</t>
        </is>
      </c>
      <c r="E58" s="92" t="inlineStr">
        <is>
          <t>—</t>
        </is>
      </c>
      <c r="F58" s="92" t="inlineStr">
        <is>
          <t>NO LIVE TRADES</t>
        </is>
      </c>
      <c r="G58" s="92" t="inlineStr">
        <is>
          <t>—</t>
        </is>
      </c>
      <c r="H58" s="92" t="inlineStr">
        <is>
          <t>N/A</t>
        </is>
      </c>
      <c r="I58" s="92" t="inlineStr">
        <is>
          <t>—</t>
        </is>
      </c>
      <c r="J58" s="92" t="inlineStr">
        <is>
          <t>—</t>
        </is>
      </c>
      <c r="K58" s="92" t="n">
        <v>0</v>
      </c>
      <c r="L58" s="93" t="n"/>
      <c r="M58" s="93" t="n"/>
      <c r="N58" s="93" t="n"/>
      <c r="O58" s="93" t="n"/>
      <c r="P58" s="92" t="n">
        <v>0</v>
      </c>
      <c r="Q58" s="94" t="n">
        <v>0</v>
      </c>
      <c r="R58" s="94" t="n">
        <v>0</v>
      </c>
      <c r="S58" s="94" t="n">
        <v>0</v>
      </c>
      <c r="T58" s="94" t="n">
        <v>0</v>
      </c>
      <c r="U58" s="95" t="n">
        <v>0</v>
      </c>
      <c r="V58" s="113" t="inlineStr">
        <is>
          <t>Hot CPI day — no A+ live setup</t>
        </is>
      </c>
      <c r="W58" s="113" t="inlineStr">
        <is>
          <t>Hot CPI (Core MoM 0.4% vs 0.3% cons, Core YoY 2.8% vs 2.7%, Headline YoY 3.8% vs 3.7%); 15-min damaged/regime in question</t>
        </is>
      </c>
      <c r="X58" s="92" t="inlineStr">
        <is>
          <t>A+ (No Trade)</t>
        </is>
      </c>
      <c r="Y58" s="92" t="inlineStr">
        <is>
          <t>Yes</t>
        </is>
      </c>
      <c r="Z58" s="92" t="inlineStr">
        <is>
          <t>No</t>
        </is>
      </c>
      <c r="AA58" s="92" t="n">
        <v>8</v>
      </c>
      <c r="AB58" s="113" t="inlineStr">
        <is>
          <t>Hot CPI flush pre-market 712.79 → 706.82 (-0.91%). 15-min macro damaged — lower low confirmed, MAs flattening, Strong Trend Up tested. Per experiment rules (A+ longs require Strong Trend Up, broken) no live A+ available. ALSO Day 12 = experiment policy decision day: switched to SIM bear practice. Two SIM trades: (1) SIM-1 entered put 8:14 MT on 1-min "first hint of curl" while white still climbing, adverse to 708.31, exited at structure for ~-$8 SIM. Lesson: 1-min is head-fake prone in volatile bear regime — 2-min curl is the cleaner trigger. (2) SIM-2 entered 8:56 MT on confirmed 2-min curl at resistance after bounce, ~705 area. Held through -$63 drawdown (from +$125 to +$62) without panic-exit. Trailed structural stops: 704.55 → 703.70 → 703.55 → 702.60. 15-min red 200 EMA broke during move. Closed +$217 SIM when had to leave for work. SIM session net +$208. KEY INSIGHT: bear breakthrough on historically-losing direction using own articulated 2-min curl methodology + structural trail. SIM is research, separate from live experiment count.</t>
        </is>
      </c>
      <c r="AC58" s="113" t="inlineStr">
        <is>
          <t>N/A No Trade</t>
        </is>
      </c>
    </row>
    <row r="59" ht="30" customHeight="1" s="56">
      <c r="A59" s="89" t="n">
        <v>46155</v>
      </c>
      <c r="B59" s="74" t="inlineStr">
        <is>
          <t>Wed</t>
        </is>
      </c>
      <c r="C59" s="74" t="n">
        <v>1</v>
      </c>
      <c r="D59" s="74" t="inlineStr">
        <is>
          <t>Experiment Day 13</t>
        </is>
      </c>
      <c r="E59" s="74" t="inlineStr">
        <is>
          <t>QQQ</t>
        </is>
      </c>
      <c r="F59" s="74" t="inlineStr">
        <is>
          <t>709C</t>
        </is>
      </c>
      <c r="G59" s="89" t="n">
        <v>46155</v>
      </c>
      <c r="H59" s="74" t="inlineStr">
        <is>
          <t>Long</t>
        </is>
      </c>
      <c r="I59" s="75" t="n">
        <v>0.3618287037037037</v>
      </c>
      <c r="J59" s="75" t="n">
        <v>0.3650810185185185</v>
      </c>
      <c r="K59" s="74" t="n">
        <v>4.7</v>
      </c>
      <c r="L59" s="76" t="n">
        <v>2.01</v>
      </c>
      <c r="M59" s="76" t="n">
        <v>2.03</v>
      </c>
      <c r="N59" s="76" t="n">
        <v>2.01</v>
      </c>
      <c r="O59" s="77" t="n">
        <v>1.71</v>
      </c>
      <c r="P59" s="74" t="n">
        <v>1</v>
      </c>
      <c r="Q59" s="78" t="n">
        <v>2</v>
      </c>
      <c r="R59" s="78" t="n">
        <v>1.6</v>
      </c>
      <c r="S59" s="98" t="n">
        <v>0.4</v>
      </c>
      <c r="T59" s="78" t="n">
        <v>30</v>
      </c>
      <c r="U59" s="80" t="n">
        <v>0.07000000000000001</v>
      </c>
      <c r="V59" s="109" t="inlineStr">
        <is>
          <t>A+ Bullish Pullback (late entry on breakout retest)</t>
        </is>
      </c>
      <c r="W59" s="109" t="inlineStr">
        <is>
          <t>Hot PPI day — regime in question; bounce-retest of 708.50 breakout</t>
        </is>
      </c>
      <c r="X59" s="74" t="inlineStr">
        <is>
          <t>A- (late entry; ~$1 late from optimal 707.50-708 zone)</t>
        </is>
      </c>
      <c r="Y59" s="74" t="inlineStr">
        <is>
          <t>Yes (entry/stop); No (BE move premature per Structural Trail methodology)</t>
        </is>
      </c>
      <c r="Z59" s="74" t="inlineStr">
        <is>
          <t>No</t>
        </is>
      </c>
      <c r="AA59" s="74" t="n">
        <v>7</v>
      </c>
      <c r="AB59" s="109" t="inlineStr">
        <is>
          <t>Day 13 Trade 1. Live shorts added to experiment Day 13 (separate rule update); this trade was long. Hot PPI 6:30 MT: MoM 1.4% vs 0.5% cons, Core MoM 1.0% vs 0.3%, Core YoY 5.2% vs 4.3%. Pre-open flush 712.79 → 706.32 then bounce attempt. Morning A+ at 707.50-708 zone MISSED — coach framed multi-tf slingshot at held macro support (706.32) as "falling knife / continuation, not setup" at 7:46 and 7:49 when chart showed Scenario A bullish slingshot. By 7:53 setup identified but framed as "your call" rather than execute call. Move ran 707.50 → 710.70 (+$3+, est +$100-130 on 0DTE). COACHING ERROR #1 FLAGGED. Trade actually taken: late entry 708.91 on 1-min curl pullback to breakout retest after price already at 708.50 area. Peaked +$17 at 709.27. COACHING ERROR #2: coach instructed BE move at +$17 on normal 30-cent pullback instead of structural trail at 708.45. Per Day 10 methodology, BE move premature — structure had not broken. BE stop caught the normal pullback to retest 9 EMA. Trade exited at $2.03 ($0.02 above entry) = +$0.40 net after commission. Subsequent move ran from ~708.80 → 710.70 (would have captured +$70-90 more with structural trail at 708.45). Exit Method classified as Manual at Structure (BE), but flagged in notes as Coaching Error.</t>
        </is>
      </c>
      <c r="AC59" s="110" t="inlineStr">
        <is>
          <t>Manual at Structure (BE — premature per methodology, coaching error)</t>
        </is>
      </c>
    </row>
    <row r="60" ht="30" customHeight="1" s="56">
      <c r="A60" s="89" t="n">
        <v>46155</v>
      </c>
      <c r="B60" s="74" t="inlineStr">
        <is>
          <t>Wed</t>
        </is>
      </c>
      <c r="C60" s="74" t="n">
        <v>2</v>
      </c>
      <c r="D60" s="74" t="inlineStr">
        <is>
          <t>Experiment Day 13</t>
        </is>
      </c>
      <c r="E60" s="74" t="inlineStr">
        <is>
          <t>QQQ</t>
        </is>
      </c>
      <c r="F60" s="74" t="inlineStr">
        <is>
          <t>711C</t>
        </is>
      </c>
      <c r="G60" s="89" t="n">
        <v>46155</v>
      </c>
      <c r="H60" s="74" t="inlineStr">
        <is>
          <t>Long</t>
        </is>
      </c>
      <c r="I60" s="75" t="n">
        <v>0.3813773148148148</v>
      </c>
      <c r="J60" s="75" t="n">
        <v>0.3842939814814815</v>
      </c>
      <c r="K60" s="74" t="n">
        <v>4.2</v>
      </c>
      <c r="L60" s="76" t="n">
        <v>1.74</v>
      </c>
      <c r="M60" s="76" t="n">
        <v>1.44</v>
      </c>
      <c r="N60" s="76" t="n">
        <v>1.44</v>
      </c>
      <c r="O60" s="77" t="n">
        <v>1.44</v>
      </c>
      <c r="P60" s="74" t="n">
        <v>1</v>
      </c>
      <c r="Q60" s="78" t="n">
        <v>-30</v>
      </c>
      <c r="R60" s="78" t="n">
        <v>1.6</v>
      </c>
      <c r="S60" s="99" t="n">
        <v>-31.6</v>
      </c>
      <c r="T60" s="78" t="n">
        <v>30</v>
      </c>
      <c r="U60" s="80" t="n">
        <v>-1.05</v>
      </c>
      <c r="V60" s="109" t="inlineStr">
        <is>
          <t>A+ Bullish Slingshot (Scenario A: 1-min/2-min reset to floor + 5-min supportive)</t>
        </is>
      </c>
      <c r="W60" s="109" t="inlineStr">
        <is>
          <t>Hot PPI day — regime in question; bull continuation attempt after 711 break</t>
        </is>
      </c>
      <c r="X60" s="74" t="inlineStr">
        <is>
          <t>A (clean execution; setup matched criteria, market failed the move)</t>
        </is>
      </c>
      <c r="Y60" s="74" t="inlineStr">
        <is>
          <t>Yes (all)</t>
        </is>
      </c>
      <c r="Z60" s="74" t="inlineStr">
        <is>
          <t>No</t>
        </is>
      </c>
      <c r="AA60" s="74" t="n">
        <v>7</v>
      </c>
      <c r="AB60" s="109" t="inlineStr">
        <is>
          <t>Day 13 Trade 2. CLEAN PROCESS REP. After morning coaching errors and BE-flag on T1, reset emotionally (Mark Douglas "next trade" frame). 9:08 MT setup formed at 710.81: 1-min yellow 0, 2-min yellow 0, 5-min yellow 86 supportive — textbook Scenario A bullish slingshot after pullback to EMA cluster post-711 breakout. Coach called direct execute (corrected hedging from morning). Verbal verification completed: QQQ / 0DTE / 1 call / 30c stop. Entry 1.74 at 9:09:11. Peak open +$2 at 9:09. Pulled back to drawdown -$12 at 9:12 (price 710.68). HELD STRUCTURAL STOP — did NOT move to BE this time (lesson from T1 applied). Stop hit at 1.44 (30c premium loss) at 9:13:23 when price broke 710.30 structural support. Exit Method: Stop Hit = IDEAL methodology classification even on a loss. This is the disciplined trader's loss — sometimes A+ setups fail. Day 13 net: -$31.20. Daily stop -$75 not hit. Process discipline intact under post-coaching-error pressure.</t>
        </is>
      </c>
      <c r="AC60" s="110" t="inlineStr">
        <is>
          <t>Stop Hit</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84"/>
  <sheetViews>
    <sheetView zoomScaleNormal="100" workbookViewId="0">
      <selection activeCell="A1" sqref="A1"/>
    </sheetView>
  </sheetViews>
  <sheetFormatPr baseColWidth="8" defaultColWidth="8.7109375" defaultRowHeight="15"/>
  <cols>
    <col width="5" customWidth="1" style="56" min="1" max="1"/>
    <col width="100" customWidth="1" style="56" min="2" max="2"/>
  </cols>
  <sheetData>
    <row r="1" ht="19.5" customHeight="1" s="56">
      <c r="A1" s="60" t="inlineStr">
        <is>
          <t>20-DAY EXPERIMENT — RULES OF ENGAGEMENT</t>
        </is>
      </c>
    </row>
    <row r="2" ht="15" customHeight="1" s="56">
      <c r="A2" s="59" t="inlineStr">
        <is>
          <t>Start Date: 4/27/2026 | End Date: ~5/22/2026 (20 trading days)</t>
        </is>
      </c>
    </row>
    <row r="4" ht="15" customHeight="1" s="56">
      <c r="B4" s="25" t="n"/>
    </row>
    <row r="5" ht="15" customHeight="1" s="56">
      <c r="A5" s="26" t="inlineStr">
        <is>
          <t>CORE RULES</t>
        </is>
      </c>
      <c r="B5" s="27" t="n"/>
    </row>
    <row r="6" ht="15" customHeight="1" s="56">
      <c r="A6" s="28" t="inlineStr">
        <is>
          <t>1</t>
        </is>
      </c>
      <c r="B6" s="25" t="inlineStr">
        <is>
          <t>A+ Long setups ONLY — Strong Trend conditions on 15-min</t>
        </is>
      </c>
    </row>
    <row r="7" ht="15" customHeight="1" s="56">
      <c r="A7" s="28" t="inlineStr">
        <is>
          <t>2</t>
        </is>
      </c>
      <c r="B7" s="25" t="inlineStr">
        <is>
          <t>ZERO bear trades — bear win rate is 23.1%, off-limits for 20 days</t>
        </is>
      </c>
    </row>
    <row r="8" ht="15" customHeight="1" s="56">
      <c r="A8" s="28" t="inlineStr">
        <is>
          <t>3</t>
        </is>
      </c>
      <c r="B8" s="25" t="inlineStr">
        <is>
          <t>Skip all B-grade and chop setups — discipline over action</t>
        </is>
      </c>
    </row>
    <row r="9" ht="15" customHeight="1" s="56">
      <c r="A9" s="28" t="inlineStr">
        <is>
          <t>4</t>
        </is>
      </c>
      <c r="B9" s="25" t="inlineStr">
        <is>
          <t>30-cent contract premium stop — NO EXCEPTIONS</t>
        </is>
      </c>
    </row>
    <row r="10" ht="15" customHeight="1" s="56">
      <c r="A10" s="28" t="inlineStr">
        <is>
          <t>5</t>
        </is>
      </c>
      <c r="B10" s="25" t="inlineStr">
        <is>
          <t>No trades in first 15 minutes of RTH (7:30-7:45 MT)</t>
        </is>
      </c>
    </row>
    <row r="11" ht="15" customHeight="1" s="56">
      <c r="A11" s="28" t="inlineStr">
        <is>
          <t>6</t>
        </is>
      </c>
      <c r="B11" s="25" t="inlineStr">
        <is>
          <t>Maximum 2 trades per day</t>
        </is>
      </c>
    </row>
    <row r="12" ht="15" customHeight="1" s="56">
      <c r="A12" s="28" t="inlineStr">
        <is>
          <t>7</t>
        </is>
      </c>
      <c r="B12" s="25" t="inlineStr">
        <is>
          <t>Daily stop: -$75 (2 stopped trades = done)</t>
        </is>
      </c>
    </row>
    <row r="13" ht="15" customHeight="1" s="56">
      <c r="A13" s="28" t="inlineStr">
        <is>
          <t>8</t>
        </is>
      </c>
      <c r="B13" s="25" t="inlineStr">
        <is>
          <t>After loss on same setup, skip identical setup for 30 minutes</t>
        </is>
      </c>
    </row>
    <row r="14" ht="15" customHeight="1" s="56">
      <c r="A14" s="28" t="inlineStr">
        <is>
          <t>9</t>
        </is>
      </c>
      <c r="B14" s="25" t="inlineStr">
        <is>
          <t>1 contract only — prove process before sizing up</t>
        </is>
      </c>
    </row>
    <row r="15" ht="15" customHeight="1" s="56">
      <c r="B15" s="25" t="n"/>
    </row>
    <row r="16" ht="15" customHeight="1" s="56">
      <c r="A16" s="26" t="inlineStr">
        <is>
          <t>ENTRY TRIGGER (A+ SETUP)</t>
        </is>
      </c>
      <c r="B16" s="27" t="n"/>
    </row>
    <row r="17" ht="15" customHeight="1" s="56">
      <c r="A17" s="28" t="inlineStr">
        <is>
          <t>•</t>
        </is>
      </c>
      <c r="B17" s="25" t="inlineStr">
        <is>
          <t>15-min macro: Strong Trend (price &gt; red 200 MA, stoch crossing up from oversold)</t>
        </is>
      </c>
    </row>
    <row r="18" ht="15" customHeight="1" s="56">
      <c r="A18" s="28" t="inlineStr">
        <is>
          <t>•</t>
        </is>
      </c>
      <c r="B18" s="25" t="inlineStr">
        <is>
          <t>Price at clear support (MA cluster, prior flush low, breakout retest)</t>
        </is>
      </c>
    </row>
    <row r="19" ht="15" customHeight="1" s="56">
      <c r="A19" s="28" t="inlineStr">
        <is>
          <t>•</t>
        </is>
      </c>
      <c r="B19" s="25" t="inlineStr">
        <is>
          <t>1-min stoch yellow at 0 (or near 0), curling up off the bottom</t>
        </is>
      </c>
    </row>
    <row r="20" ht="15" customHeight="1" s="56">
      <c r="A20" s="28" t="inlineStr">
        <is>
          <t>•</t>
        </is>
      </c>
      <c r="B20" s="25" t="inlineStr">
        <is>
          <t>Enter on the CURL, BEFORE yellow crosses white (anticipation entry)</t>
        </is>
      </c>
    </row>
    <row r="21" ht="15" customHeight="1" s="56">
      <c r="A21" s="28" t="inlineStr">
        <is>
          <t>•</t>
        </is>
      </c>
      <c r="B21" s="25" t="inlineStr">
        <is>
          <t>2-min stoch supportive (oversold or rolling up)</t>
        </is>
      </c>
    </row>
    <row r="22" ht="15" customHeight="1" s="56">
      <c r="A22" s="28" t="inlineStr">
        <is>
          <t>•</t>
        </is>
      </c>
      <c r="B22" s="25" t="inlineStr">
        <is>
          <t>5-min stoch climbing (not rolling down)</t>
        </is>
      </c>
    </row>
    <row r="23" ht="15" customHeight="1" s="56">
      <c r="A23" s="28" t="inlineStr">
        <is>
          <t>•</t>
        </is>
      </c>
      <c r="B23" s="25" t="inlineStr">
        <is>
          <t>Clean risk point within 30 cents premium / 1.5 points underlying</t>
        </is>
      </c>
    </row>
    <row r="24" ht="15" customHeight="1" s="56">
      <c r="B24" s="25" t="n"/>
    </row>
    <row r="25" ht="15" customHeight="1" s="56">
      <c r="A25" s="26" t="inlineStr">
        <is>
          <t>MANAGEMENT RULES</t>
        </is>
      </c>
      <c r="B25" s="27" t="n"/>
    </row>
    <row r="26" ht="15" customHeight="1" s="56">
      <c r="A26" s="28" t="inlineStr">
        <is>
          <t>•</t>
        </is>
      </c>
      <c r="B26" s="25" t="inlineStr">
        <is>
          <t>Move stop to breakeven at +20 cents premium</t>
        </is>
      </c>
    </row>
    <row r="27" ht="15" customHeight="1" s="56">
      <c r="A27" s="28" t="inlineStr">
        <is>
          <t>•</t>
        </is>
      </c>
      <c r="B27" s="25" t="inlineStr">
        <is>
          <t>DO NOT exit at +30 cents (historical leak — wins capped at $25-43)</t>
        </is>
      </c>
    </row>
    <row r="28" ht="15" customHeight="1" s="56">
      <c r="A28" s="28" t="inlineStr">
        <is>
          <t>•</t>
        </is>
      </c>
      <c r="B28" s="25" t="inlineStr">
        <is>
          <t>Hold for +60 cents minimum unless setup invalidates</t>
        </is>
      </c>
    </row>
    <row r="29" ht="15" customHeight="1" s="56">
      <c r="A29" s="28" t="inlineStr">
        <is>
          <t>•</t>
        </is>
      </c>
      <c r="B29" s="25" t="inlineStr">
        <is>
          <t>Setup invalidation = exit immediately (5-min stoch cross down, etc.)</t>
        </is>
      </c>
    </row>
    <row r="30" ht="15" customHeight="1" s="56">
      <c r="B30" s="25" t="n"/>
    </row>
    <row r="31" ht="15" customHeight="1" s="56">
      <c r="A31" s="26" t="inlineStr">
        <is>
          <t>TRIGGERS TO BREAK RULES (KNOWN WEAKNESSES)</t>
        </is>
      </c>
      <c r="B31" s="27" t="n"/>
    </row>
    <row r="32" ht="15" customHeight="1" s="56">
      <c r="A32" s="28" t="inlineStr">
        <is>
          <t>•</t>
        </is>
      </c>
      <c r="B32" s="25" t="inlineStr">
        <is>
          <t>Fear — closing winners too early to lock in profit</t>
        </is>
      </c>
    </row>
    <row r="33" ht="15" customHeight="1" s="56">
      <c r="A33" s="28" t="inlineStr">
        <is>
          <t>•</t>
        </is>
      </c>
      <c r="B33" s="25" t="inlineStr">
        <is>
          <t>FOMO — chasing setups that already moved</t>
        </is>
      </c>
    </row>
    <row r="34" ht="15" customHeight="1" s="56">
      <c r="A34" s="28" t="inlineStr">
        <is>
          <t>•</t>
        </is>
      </c>
      <c r="B34" s="25" t="inlineStr">
        <is>
          <t>Revenge — trading after losses to "make it back"</t>
        </is>
      </c>
    </row>
    <row r="35" ht="15" customHeight="1" s="56">
      <c r="A35" s="28" t="inlineStr">
        <is>
          <t>•</t>
        </is>
      </c>
      <c r="B35" s="25" t="inlineStr">
        <is>
          <t>Boredom — trading because nothing is happening</t>
        </is>
      </c>
    </row>
    <row r="36" ht="15" customHeight="1" s="56">
      <c r="B36" s="25" t="n"/>
    </row>
    <row r="37" ht="15" customHeight="1" s="56">
      <c r="A37" s="26" t="inlineStr">
        <is>
          <t>IF I FEEL THESE, I:</t>
        </is>
      </c>
      <c r="B37" s="27" t="n"/>
    </row>
    <row r="38" ht="15" customHeight="1" s="56">
      <c r="A38" s="28" t="inlineStr">
        <is>
          <t>•</t>
        </is>
      </c>
      <c r="B38" s="25" t="inlineStr">
        <is>
          <t>Take a 10-minute break, walk away from the screen</t>
        </is>
      </c>
    </row>
    <row r="39" ht="15" customHeight="1" s="56">
      <c r="A39" s="28" t="inlineStr">
        <is>
          <t>•</t>
        </is>
      </c>
      <c r="B39" s="25" t="inlineStr">
        <is>
          <t>Re-read the rules out loud</t>
        </is>
      </c>
    </row>
    <row r="40" ht="15" customHeight="1" s="56">
      <c r="A40" s="28" t="inlineStr">
        <is>
          <t>•</t>
        </is>
      </c>
      <c r="B40" s="25" t="inlineStr">
        <is>
          <t>Check current mental state (1-10 scale)</t>
        </is>
      </c>
    </row>
    <row r="41" ht="15" customHeight="1" s="56">
      <c r="A41" s="28" t="inlineStr">
        <is>
          <t>•</t>
        </is>
      </c>
      <c r="B41" s="25" t="inlineStr">
        <is>
          <t>If &lt;7, do not trade</t>
        </is>
      </c>
    </row>
    <row r="42" ht="15" customHeight="1" s="56">
      <c r="B42" s="25" t="n"/>
    </row>
    <row r="43" ht="15" customHeight="1" s="56">
      <c r="A43" s="26" t="inlineStr">
        <is>
          <t>END-OF-DAY PROCESS</t>
        </is>
      </c>
      <c r="B43" s="27" t="n"/>
    </row>
    <row r="44" ht="15" customHeight="1" s="56">
      <c r="A44" s="28" t="inlineStr">
        <is>
          <t>•</t>
        </is>
      </c>
      <c r="B44" s="25" t="inlineStr">
        <is>
          <t>Send TradeStation broker export to Claude</t>
        </is>
      </c>
    </row>
    <row r="45" ht="15" customHeight="1" s="56">
      <c r="A45" s="28" t="inlineStr">
        <is>
          <t>•</t>
        </is>
      </c>
      <c r="B45" s="25" t="inlineStr">
        <is>
          <t>Send daily context note (setup, grade, condition, mental state, notes)</t>
        </is>
      </c>
    </row>
    <row r="46" ht="15" customHeight="1" s="56">
      <c r="A46" s="28" t="inlineStr">
        <is>
          <t>•</t>
        </is>
      </c>
      <c r="B46" s="25" t="inlineStr">
        <is>
          <t>Claude updates master tracker</t>
        </is>
      </c>
    </row>
    <row r="47" ht="15" customHeight="1" s="56">
      <c r="B47" s="25" t="n"/>
    </row>
    <row r="48" ht="15" customHeight="1" s="56">
      <c r="A48" s="26" t="inlineStr">
        <is>
          <t>END OF EXPERIMENT (20 days)</t>
        </is>
      </c>
      <c r="B48" s="27" t="n"/>
    </row>
    <row r="49" ht="15" customHeight="1" s="56">
      <c r="A49" s="28" t="inlineStr">
        <is>
          <t>•</t>
        </is>
      </c>
      <c r="B49" s="25" t="inlineStr">
        <is>
          <t>Review full dataset</t>
        </is>
      </c>
    </row>
    <row r="50" ht="15" customHeight="1" s="56">
      <c r="A50" s="28" t="inlineStr">
        <is>
          <t>•</t>
        </is>
      </c>
      <c r="B50" s="25" t="inlineStr">
        <is>
          <t>Identify what works, what leaks remain</t>
        </is>
      </c>
    </row>
    <row r="51" ht="15" customHeight="1" s="56">
      <c r="A51" s="28" t="inlineStr">
        <is>
          <t>•</t>
        </is>
      </c>
      <c r="B51" s="25" t="inlineStr">
        <is>
          <t>Refine rules based on actual data</t>
        </is>
      </c>
    </row>
    <row r="52" ht="15" customHeight="1" s="56">
      <c r="A52" s="28" t="inlineStr">
        <is>
          <t>•</t>
        </is>
      </c>
      <c r="B52" s="25" t="inlineStr">
        <is>
          <t>Decide on sizing increase if profitable + clean execution</t>
        </is>
      </c>
    </row>
    <row r="54">
      <c r="A54" t="inlineStr">
        <is>
          <t>QQQ only - no other equities or ETFs during 20-day experiment (added Day 8 after AAPL deviation, 5/6/26)</t>
        </is>
      </c>
    </row>
    <row r="55">
      <c r="A55" t="inlineStr">
        <is>
          <t>Zero DTE only - no later expiries during 20-day experiment (added Day 8, 5/6/26)</t>
        </is>
      </c>
    </row>
    <row r="57">
      <c r="A57" t="inlineStr">
        <is>
          <t>EXIT METHODOLOGY (added Day 10)</t>
        </is>
      </c>
      <c r="B57" t="inlineStr">
        <is>
          <t>Structural Trail Stop</t>
        </is>
      </c>
    </row>
    <row r="58">
      <c r="A58" t="inlineStr">
        <is>
          <t>1. Initial Stop</t>
        </is>
      </c>
      <c r="B58" t="inlineStr">
        <is>
          <t>Entry - $0.30, hardcoded SBA, placed within seconds of entry</t>
        </is>
      </c>
    </row>
    <row r="59">
      <c r="A59" t="inlineStr">
        <is>
          <t>2. Trail Method</t>
        </is>
      </c>
      <c r="B59" t="inlineStr">
        <is>
          <t>As price advances and forms higher lows, trail stop to just below the most recent confirmed swing low on entry timeframe (1-min or 2-min)</t>
        </is>
      </c>
    </row>
    <row r="60">
      <c r="A60" t="inlineStr">
        <is>
          <t>3. Default Exit</t>
        </is>
      </c>
      <c r="B60" t="inlineStr">
        <is>
          <t>Do NOT manually exit winners. Let the structural break trigger the stop</t>
        </is>
      </c>
    </row>
    <row r="61">
      <c r="A61" t="inlineStr">
        <is>
          <t>4. Acceptable Manual Exit</t>
        </is>
      </c>
      <c r="B61" t="inlineStr">
        <is>
          <t>Only for: time-stop on extended consolidation (10+min sideways), end-of-day 0DTE expiry risk, or hard regime shift on news catalyst</t>
        </is>
      </c>
    </row>
    <row r="62">
      <c r="A62" t="inlineStr">
        <is>
          <t>5. Rule Violation</t>
        </is>
      </c>
      <c r="B62" t="inlineStr">
        <is>
          <t>Manual exit "because nervous" = rule violation, even on profitable trades</t>
        </is>
      </c>
    </row>
    <row r="64">
      <c r="A64" t="inlineStr">
        <is>
          <t>PRE-TRADE VERIFICATION (added Day 9)</t>
        </is>
      </c>
      <c r="B64" t="inlineStr">
        <is>
          <t>Verbal confirmation before order entry</t>
        </is>
      </c>
    </row>
    <row r="65">
      <c r="A65" t="inlineStr">
        <is>
          <t>1. Ticker</t>
        </is>
      </c>
      <c r="B65" t="inlineStr">
        <is>
          <t>QQQ confirmed</t>
        </is>
      </c>
    </row>
    <row r="66">
      <c r="A66" t="inlineStr">
        <is>
          <t>2. Expiry</t>
        </is>
      </c>
      <c r="B66" t="inlineStr">
        <is>
          <t>0DTE confirmed (TradeStation default filter set to 0DTE)</t>
        </is>
      </c>
    </row>
    <row r="67">
      <c r="A67" t="inlineStr">
        <is>
          <t>3. Quantity</t>
        </is>
      </c>
      <c r="B67" t="inlineStr">
        <is>
          <t>1 contract</t>
        </is>
      </c>
    </row>
    <row r="68">
      <c r="A68" t="inlineStr">
        <is>
          <t>4. Stop</t>
        </is>
      </c>
      <c r="B68" t="inlineStr">
        <is>
          <t>30c stop ready, hardcoded SBA</t>
        </is>
      </c>
    </row>
    <row r="70">
      <c r="A70" t="inlineStr">
        <is>
          <t>TICKER &amp; EXPIRY LOCK (added Day 8)</t>
        </is>
      </c>
      <c r="B70" t="inlineStr">
        <is>
          <t>Active for remainder of 20-day experiment</t>
        </is>
      </c>
    </row>
    <row r="71">
      <c r="A71" t="inlineStr">
        <is>
          <t>Ticker</t>
        </is>
      </c>
      <c r="B71" t="inlineStr">
        <is>
          <t>QQQ ONLY - no other equities or ETFs</t>
        </is>
      </c>
    </row>
    <row r="72">
      <c r="A72" t="inlineStr">
        <is>
          <t>Expiry</t>
        </is>
      </c>
      <c r="B72" t="inlineStr">
        <is>
          <t>0DTE ONLY - no later expiries</t>
        </is>
      </c>
    </row>
    <row r="74">
      <c r="A74" t="inlineStr">
        <is>
          <t>LIVE SHORTS ADDED (Day 13, 5/13/26)</t>
        </is>
      </c>
      <c r="B74" t="inlineStr">
        <is>
          <t>Experiment expanded to include live short setups</t>
        </is>
      </c>
    </row>
    <row r="75">
      <c r="A75" t="inlineStr">
        <is>
          <t>Trigger</t>
        </is>
      </c>
      <c r="B75" t="inlineStr">
        <is>
          <t>2-min stoch yellow curl DOWN at top zone (refined from SIM-2 on Day 12). 1-min in upper zone, 5-min in slingshot top OR climbing.</t>
        </is>
      </c>
    </row>
    <row r="76">
      <c r="A76" t="inlineStr">
        <is>
          <t>Macro Filter</t>
        </is>
      </c>
      <c r="B76" t="inlineStr">
        <is>
          <t>15-min damaged OR regime in question (looser than strict mirror of Strong Trend Down). Bull macro = no shorts.</t>
        </is>
      </c>
    </row>
    <row r="77">
      <c r="A77" t="inlineStr">
        <is>
          <t>Location</t>
        </is>
      </c>
      <c r="B77" t="inlineStr">
        <is>
          <t>Price at meaningful resistance — MA cluster, prior swing high, breakdown retest, or failed bounce zone.</t>
        </is>
      </c>
    </row>
    <row r="78">
      <c r="A78" t="inlineStr">
        <is>
          <t>Risk</t>
        </is>
      </c>
      <c r="B78" t="inlineStr">
        <is>
          <t>Same as longs — 1 contract, 30c hardcoded premium stop, pre-trade verbal (ticker/expiry/qty/stop), daily stop -$75 combined, max 2 trades/day combined direction.</t>
        </is>
      </c>
    </row>
    <row r="79">
      <c r="A79" t="inlineStr">
        <is>
          <t>Cool-down</t>
        </is>
      </c>
      <c r="B79" t="inlineStr">
        <is>
          <t>Skip identical short setup 30 min after a short loss (same rule as longs).</t>
        </is>
      </c>
    </row>
    <row r="80">
      <c r="A80" t="inlineStr">
        <is>
          <t>Trail</t>
        </is>
      </c>
      <c r="B80" t="inlineStr">
        <is>
          <t>Structural — trail stop ABOVE most recent 1-min swing HIGH as new lows form. Do NOT move to BE on first pullback.</t>
        </is>
      </c>
    </row>
    <row r="81">
      <c r="A81" t="inlineStr">
        <is>
          <t>Tracking</t>
        </is>
      </c>
      <c r="B81" t="inlineStr">
        <is>
          <t>Same Trade Log rows. Direction column = "Short". Same Daily Notes process.</t>
        </is>
      </c>
    </row>
    <row r="82">
      <c r="A82" t="inlineStr">
        <is>
          <t>Origin</t>
        </is>
      </c>
      <c r="B82" t="inlineStr">
        <is>
          <t>Decision made evening Day 12 after SIM bear breakthrough (+$217 SIM-2 with 2-min curl). N=1 SIM validation — first live test pending. Aaron confirmed Day 13 morning: "Adding shorts live, your job is to help me execute."</t>
        </is>
      </c>
    </row>
    <row r="84">
      <c r="A84" t="inlineStr">
        <is>
          <t>NOTE on Core Rule #2</t>
        </is>
      </c>
      <c r="B84" t="inlineStr">
        <is>
          <t>Original rule "ZERO bear trades" superseded Day 13 (5/13/26) by addition of live shorts under criteria above. Original rule preserved for audit trail. Effective rule from Day 13 onward: live shorts permitted under the criteria in this section.</t>
        </is>
      </c>
    </row>
  </sheetData>
  <mergeCells count="2">
    <mergeCell ref="A2:B2"/>
    <mergeCell ref="A1:B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H14"/>
  <sheetViews>
    <sheetView zoomScaleNormal="100" workbookViewId="0">
      <pane ySplit="1" topLeftCell="A2" activePane="bottomLeft" state="frozen"/>
      <selection pane="bottomLeft" activeCell="A1" sqref="A1"/>
    </sheetView>
  </sheetViews>
  <sheetFormatPr baseColWidth="8" defaultColWidth="8.7109375" defaultRowHeight="15"/>
  <cols>
    <col width="12" customWidth="1" style="56" min="1" max="1"/>
    <col width="8" customWidth="1" style="56" min="2" max="3"/>
    <col width="11" customWidth="1" style="56" min="4" max="4"/>
    <col width="8" customWidth="1" style="56" min="5" max="5"/>
    <col width="12" customWidth="1" style="56" min="6" max="6"/>
    <col width="60" customWidth="1" style="56" min="7" max="8"/>
  </cols>
  <sheetData>
    <row r="1" ht="34.5" customHeight="1" s="56">
      <c r="A1" s="11" t="inlineStr">
        <is>
          <t>Date</t>
        </is>
      </c>
      <c r="B1" s="11" t="inlineStr">
        <is>
          <t>Day #</t>
        </is>
      </c>
      <c r="C1" s="11" t="inlineStr">
        <is>
          <t>Trades Taken</t>
        </is>
      </c>
      <c r="D1" s="11" t="inlineStr">
        <is>
          <t>P/L</t>
        </is>
      </c>
      <c r="E1" s="11" t="inlineStr">
        <is>
          <t>Mental State</t>
        </is>
      </c>
      <c r="F1" s="11" t="inlineStr">
        <is>
          <t>Rules Followed</t>
        </is>
      </c>
      <c r="G1" s="11" t="inlineStr">
        <is>
          <t>Key Observations</t>
        </is>
      </c>
      <c r="H1" s="11" t="inlineStr">
        <is>
          <t>Lessons / Pattern Notes</t>
        </is>
      </c>
    </row>
    <row r="2" ht="99.75" customHeight="1" s="56">
      <c r="A2" s="29" t="inlineStr">
        <is>
          <t>2026-04-27</t>
        </is>
      </c>
      <c r="B2" s="29" t="inlineStr">
        <is>
          <t>Day 1</t>
        </is>
      </c>
      <c r="C2" s="29" t="n">
        <v>1</v>
      </c>
      <c r="D2" s="30" t="n">
        <v>-29.6</v>
      </c>
      <c r="E2" s="29" t="n">
        <v>8</v>
      </c>
      <c r="F2" s="29" t="inlineStr">
        <is>
          <t>All</t>
        </is>
      </c>
      <c r="G2" s="31" t="inlineStr">
        <is>
          <t>First trade of experiment. Entered $1.32 on pullback long, stopped at $1.04 (~$1.02 stop). Setup graded B+ in retrospect — entry was late, after deeper flush rather than at low. Held stop discipline through -$22 drawdown. Walked away after stop, applied cool-down rule. Watched 660.50-&gt;663.70 bounce without entering. Skipped multiple B+ setups during chop. Closed platform without forcing trade #2.</t>
        </is>
      </c>
      <c r="H2" s="31" t="inlineStr">
        <is>
          <t>KEY LESSON: Entry timing is the leak. Should have entered at the deeper flush low (660.50), not the bounce retest. Real-time screenshot/wait/analysis loop with Claude was costing 15-20 minutes — making setups stale. NEW PROCESS: morning prep, then I execute, send data after.</t>
        </is>
      </c>
    </row>
    <row r="3" ht="99.75" customHeight="1" s="56">
      <c r="A3" s="29" t="inlineStr">
        <is>
          <t>2026-04-28</t>
        </is>
      </c>
      <c r="B3" s="29" t="inlineStr">
        <is>
          <t>Day 2</t>
        </is>
      </c>
      <c r="C3" s="29" t="n">
        <v>1</v>
      </c>
      <c r="D3" s="32" t="n">
        <v>76.40000000000001</v>
      </c>
      <c r="E3" s="29" t="n">
        <v>9</v>
      </c>
      <c r="F3" s="29" t="inlineStr">
        <is>
          <t>All</t>
        </is>
      </c>
      <c r="G3" s="31" t="inlineStr">
        <is>
          <t>Pre-market gap-down recovery setup identified. Waited through 15-min rule. Watched first bounce 656-&gt;659 without chasing. Identified pullback box at 657.01-657.51. Entered $2.11 on the curl from 1-min stoch oversold. Initial $1.91 stop (20-cent risk). HELD past historical exit zone — let winner run. Exited $2.89 = +$76.40 = 3.82R. Best single trade ever recorded by $33.</t>
        </is>
      </c>
      <c r="H3" s="31" t="inlineStr">
        <is>
          <t>BREAKTHROUGH: First time letting winner run past +$30 leak. 9-min trade, 78-cent premium move. This is what the edge looks like when executed cleanly. Pre-market prep + fast execution + no real-time validation loop = the working process.</t>
        </is>
      </c>
    </row>
    <row r="4" ht="99.75" customHeight="1" s="56">
      <c r="A4" s="33" t="inlineStr">
        <is>
          <t>2026-04-29</t>
        </is>
      </c>
      <c r="B4" s="33" t="inlineStr">
        <is>
          <t>Day 3</t>
        </is>
      </c>
      <c r="C4" s="33" t="n">
        <v>0</v>
      </c>
      <c r="D4" s="34" t="n">
        <v>0</v>
      </c>
      <c r="E4" s="33" t="n">
        <v>9</v>
      </c>
      <c r="F4" s="33" t="inlineStr">
        <is>
          <t>All</t>
        </is>
      </c>
      <c r="G4" s="35" t="inlineStr">
        <is>
          <t>Fed Day (FOMC rate decision + Powell press conf at 12:00/12:30 MT). Made decision pre-open to be SIM-only. Took 1 SIM trade in morning that won (+$31 in SIM). Validated that A+ setup still fires in pre-Fed regime, but with smaller magnitude than yesterday's live winner. Did NOT go live despite winning SIM trade. Resisted the "would have been money" temptation. Continued SIM-only for rest of session.</t>
        </is>
      </c>
      <c r="H4" s="35" t="inlineStr">
        <is>
          <t>BREAKTHROUGH: Discipline tested in a different way today. Yesterday tested "walk away after winning live trade." Today tested "do not break the plan after winning SIM trade." Both passed. The fact that the SIM trade worked is randomness — the Fed day rule exists because variance is wider both directions, not because every Fed day is unprofitable. Sticking to the plan when a "would-have-been" winner appears is critical for long-term consistency.</t>
        </is>
      </c>
    </row>
    <row r="5" ht="110.1" customHeight="1" s="56">
      <c r="A5" s="49" t="inlineStr">
        <is>
          <t>2026-04-30</t>
        </is>
      </c>
      <c r="B5" s="49" t="inlineStr">
        <is>
          <t>Day 4</t>
        </is>
      </c>
      <c r="C5" s="49" t="n">
        <v>1</v>
      </c>
      <c r="D5" s="50" t="n">
        <v>-34</v>
      </c>
      <c r="E5" s="49" t="n">
        <v>7</v>
      </c>
      <c r="F5" s="49" t="inlineStr">
        <is>
          <t>All</t>
        </is>
      </c>
      <c r="G5" s="51" t="inlineStr">
        <is>
          <t>Post-Fed regime. Pre-market gap up to 666 then violent rejection back to 661. Took A+ long setup at red 200 MA support at 7:46 MT. Setup criteria met (1-min curl, support, oversold). However regime had shifted to corrective - bullish thesis failed. Stopped at -$34. Did NOT take second trade despite eligibility - recognized regime mismatch. Observed clean A+ BEAR setup at 8:07 MT during cool-down (would have been +$108 hypothetical). Initiated bearish paper-trade research as direct response.</t>
        </is>
      </c>
      <c r="H5" s="51" t="inlineStr">
        <is>
          <t>CRITICAL INSIGHT: Bullish edge depends on regime. Day 2 winner came in Strong Trend recovery. Day 4 loss came in failed-bounce/consolidation regime. Same setup criteria, very different outcomes. Started paper-trading bearish A+ setups (mirror of bullish criteria) to build research dataset. Goal: have validated bearish edge data ready by Day 20 for potential Phase 2 introduction. Daily chart analysis revealed potential bearish divergence forming - regime may be shifting to corrective phase. Pattern recognition for regime change is the next skill to develop.</t>
        </is>
      </c>
    </row>
    <row r="6">
      <c r="A6" s="52" t="n">
        <v>46143</v>
      </c>
      <c r="B6" t="n">
        <v>5</v>
      </c>
      <c r="C6" t="n">
        <v>1</v>
      </c>
      <c r="D6" t="n">
        <v>60.4</v>
      </c>
      <c r="E6" t="n">
        <v>9</v>
      </c>
      <c r="F6" t="inlineStr">
        <is>
          <t>Yes</t>
        </is>
      </c>
      <c r="G6" t="inlineStr">
        <is>
          <t>Gap up post-Day 4. ISM 8:00 MT: PMI 52.7 (miss), Employment 46.4 (miss/contractionary), New Orders 54.1 (beat), Prices 84.6 (hot - stagflation print). Market shrugged, rallied 3 pts to 676. Waited 65 min through extended OB. Pullback 8:30-8:37 to 5-min 9 EMA ~672, 1-min stoch reset to 0 + curl. Entered on curl. Held through give-back +25 to +10, second curl to +53, 4 rejections at 674. Exited 673.95 / $1.97 at end of mental capacity. Did not take 2nd trade.</t>
        </is>
      </c>
      <c r="H6" t="inlineStr">
        <is>
          <t>Best disciplined trade of experiment. Entered on curl not cross - primary historical leak FIXED. Held above $43 ceiling. Trailed stop through structural inflections. Exited at structural resistance, not random P/L. Stop management confirmed compliant - hardcoded 30c on entry, manually trailed BE -&gt; +$45 -&gt; +$50 -&gt; +$15 lock as structure evolved. (Day 8 follow-up resolved earlier ambiguity.)</t>
        </is>
      </c>
    </row>
    <row r="7">
      <c r="A7" s="52" t="n">
        <v>46146</v>
      </c>
      <c r="B7" t="n">
        <v>6</v>
      </c>
      <c r="C7" t="n">
        <v>0</v>
      </c>
      <c r="D7" t="n">
        <v>0</v>
      </c>
      <c r="E7" t="n">
        <v>7</v>
      </c>
      <c r="F7" t="inlineStr">
        <is>
          <t>Yes</t>
        </is>
      </c>
      <c r="G7" t="inlineStr">
        <is>
          <t>Range-bound chop 674-676 through pre-market and session. Pre-open framework correctly identified Path C (range chop). 4 rejections at 676, one failed breakout at 8:53. No A+ pullback to real support - 5-min 21 EMA at 674.75 never tested post-open. Closed platform 9:08 MT. Mid-day flush to 669 confirmed regime instability post-close.</t>
        </is>
      </c>
      <c r="H7" t="inlineStr">
        <is>
          <t>Discipline day. Staying flat in range chop = correct. No setup forced.</t>
        </is>
      </c>
    </row>
    <row r="8">
      <c r="A8" s="52" t="n">
        <v>46147</v>
      </c>
      <c r="B8" t="n">
        <v>7</v>
      </c>
      <c r="C8" t="n">
        <v>0</v>
      </c>
      <c r="D8" t="n">
        <v>0</v>
      </c>
      <c r="E8" t="n">
        <v>8</v>
      </c>
      <c r="F8" t="inlineStr">
        <is>
          <t>Yes</t>
        </is>
      </c>
      <c r="G8" t="inlineStr">
        <is>
          <t>Overnight rally after Day 6 late flush. QQQ gap to 678+. ISM Services 53.6 (slight miss, decelerating), JOLTs 6.866M (in-line), New Home Sales 682K (beat), ISM Services Employment 45.2 (still contractionary). Net mildly dovish, soft-landing. Print spike 678 to 684 in 15 min, sharp reversal to 679 by 8:15. Three B+ pullback setups skipped: 8:20 (1-min curl at 1-min 21 EMA 679.66, single timeframe - ran 1.7 pts), 8:40 (1-min reset at 1-min 9 EMA 680.50, same), 8:54 (sideways base 680, multi-tf reset via time but no flush to real support). Closed platform ~9:28 MT.</t>
        </is>
      </c>
      <c r="H8" t="inlineStr">
        <is>
          <t>A+ requires multi-tf stoch alignment AND price at REAL support (5-min 21 EMA, 15-min 9 EMA, or major horizontal). Today pullbacks were micro to 1-min EMAs only - wrong location. Two consecutive days (Day 6, Day 7) of B+ setups without A+ alignment - track regime-specific (gap/news days) vs broader pattern. Day 20 evaluation: does B+ tier deserve its own framework with adjusted sizing/stops?</t>
        </is>
      </c>
    </row>
    <row r="9">
      <c r="A9" s="52" t="n">
        <v>46148</v>
      </c>
      <c r="B9" t="n">
        <v>8</v>
      </c>
      <c r="C9" t="n">
        <v>1</v>
      </c>
      <c r="D9" t="n">
        <v>-31.6</v>
      </c>
      <c r="E9" t="n">
        <v>8</v>
      </c>
      <c r="F9" t="inlineStr">
        <is>
          <t>Yes</t>
        </is>
      </c>
      <c r="G9" t="inlineStr">
        <is>
          <t>Massive overnight rally to 696, consolidating at 688 by pre-open. 15-min stoch finally showed real reset (slow 23, fast 0) - first multi-tf reset in over a week. 8:03 MT: QQQ pullback to 688 with 1-min/2-min reset, 5-min at 89 (elevated). Met WRITTEN A+ criteria but coach applied stricter 5-min reset interpretation. Skipped. Move ran ~$2 (would have been $80-100). 8:13: HOD, all tf extended - late entry, skipped (correct). 8:55: AAPL setup taken (1-min curl at 5-min 9 EMA support). Entry $2.40, hardcoded SBA stop. 9:08: invalidated, stop hit $2.10. Net -$31.60.</t>
        </is>
      </c>
      <c r="H9" t="inlineStr">
        <is>
          <t>Ticker discipline matters for experiment integrity. AAPL premium dynamics (gamma/IV/theta) differ from QQQ - cross-ticker data corrupts dataset. QQQ-only locked in. Hardcoded stop discipline confirmed working - should be default for all future trades. Rule clarification needed at Day 20: 5-min stoch climbing - fresh reset from &lt;30 vs trend-aligned not-rolling? Today 8:03 setup highlighted ambiguity. Loss handled cleanly, no revenge trade considered.</t>
        </is>
      </c>
    </row>
    <row r="10">
      <c r="A10" s="52" t="n">
        <v>46149</v>
      </c>
      <c r="B10" t="n">
        <v>9</v>
      </c>
      <c r="C10" t="n">
        <v>1</v>
      </c>
      <c r="D10" s="88" t="n">
        <v>165.4</v>
      </c>
      <c r="E10" t="n">
        <v>9</v>
      </c>
      <c r="F10" t="inlineStr">
        <is>
          <t>Yes (Contract expiry deviation - accidental)</t>
        </is>
      </c>
      <c r="G10" t="inlineStr">
        <is>
          <t>Steady overnight grind 691-&gt;696 pre-open. 15-min stoch finally showed clean fast-line reset. Pre-open framework correctly identified A+ environment. Multi-tf alignment achieved 7:48 at 695.93 (1-min curl + 2-min flush + 5-min fast at floor). Hardcoded SBA stop within 12 sec. Trailed structurally through BE -&gt; +25 -&gt; +40 -&gt; +60 -&gt; +80 -&gt; +100. Held through give-backs. Manual market exit 8:15:57 at 5.43 on structural rejection of 699. R-multiple 5.51. Best disciplined trade of experiment by $89.</t>
        </is>
      </c>
      <c r="H10" t="inlineStr">
        <is>
          <t>BREAKTHROUGH: Multi-tf alignment is the differentiator. CONFIRMS looser interpretation of "5-min climbing" - trend-aligned with fast reset is sufficient. SKILL UPGRADE: Trailing structure beats trailing dollars. SKILL UPGRADE: Manual exit at structural rejection &gt; stop-catch. WORKFLOW FIX REQUIRED: Selected 1DTE instead of 0DTE - accidental, not deliberate. Higher delta of 1DTE ITM strike captured ~$50 more than comparable 0DTE. ACTION: Implement pre-trade verbal verification (ticker/expiry/qty/stop) and set TradeStation default expiry filter to 0DTE.</t>
        </is>
      </c>
    </row>
    <row r="11">
      <c r="A11" s="52" t="n">
        <v>46150</v>
      </c>
      <c r="B11" t="n">
        <v>10</v>
      </c>
      <c r="C11" t="n">
        <v>1</v>
      </c>
      <c r="D11" s="88" t="n">
        <v>89.40000000000001</v>
      </c>
      <c r="E11" t="n">
        <v>9</v>
      </c>
      <c r="F11" t="inlineStr">
        <is>
          <t>Yes</t>
        </is>
      </c>
      <c r="G11" t="inlineStr">
        <is>
          <t>NFP April 115K vs 62K consensus = strong beat. Pre-market gap from ~694 to 706+. Waited 1+ hour for real setup. Multi-tf alignment at 5-min EMA zone (~704-705). 1-min curl entry at 1.86. Hardcoded 30c initial stop, manually trailed structurally. Stop caught at 2.81 with 4c slippage (filled 2.77). FIRST clean execution of new structural-trail methodology. Held past every historical exit ($43, $57, $73, $102). Exit Method: Stop Hit (NOT manual at nerve).</t>
        </is>
      </c>
      <c r="H11" t="inlineStr">
        <is>
          <t>METHODOLOGY VALIDATION: New Structural Trail Stop rule executed cleanly. Stop caught the move on structural breakdown rather than manual exit at nerve. Slippage on SBA market stops is acceptable cost of discipline. Day 10 vs Day 9 comparison: Day 9 = manual exit (old method, bigger dollars), Day 10 = stop-hit (new method, smaller dollars but methodologically pure). Going forward, "Stop Hit" is the target outcome, not "Manual at Nerve". Pre-trade verification protocol worked - QQQ confirmed, 0DTE confirmed, 1 contract, 30c stop placed within 9 seconds.</t>
        </is>
      </c>
    </row>
    <row r="12">
      <c r="A12" s="97" t="n">
        <v>46153</v>
      </c>
      <c r="B12" t="n">
        <v>11</v>
      </c>
      <c r="C12" t="n">
        <v>0</v>
      </c>
      <c r="D12" t="n">
        <v>0</v>
      </c>
      <c r="E12" t="n">
        <v>7</v>
      </c>
      <c r="F12" t="inlineStr">
        <is>
          <t>Yes</t>
        </is>
      </c>
      <c r="G12" t="inlineStr">
        <is>
          <t>Pre-CPI day. 15-min uptrend intact but tested — deepest pullback of move (709.78 low) held the 15-min 50 EMA. Two A+ identified: 7:42 in no-trade window (correctly skipped per rule), 8:32 at 15-min 50 EMA reset (skipped on over-strict 5-min "climbing" read — move ran +$3.56 underlying / est +$120-180 0DTE). Three B-grade attempts skipped (7:50, 7:58, 8:01). V-recovery to 712.50 supply correctly not chased.</t>
        </is>
      </c>
      <c r="H12" t="inlineStr">
        <is>
          <t>Checklist refinement (2nd occurrence, also flagged Day 8): 5-min "climbing" = "in position to climb" (yellow in support zone, ready to turn) when 15-min stoch is in fresh deep reset AND price at macro support. Bar-over-bar visible rise lags the 1-min curl trigger by definition — waiting for it = entering on confirmation = late. Apply Days 12-20. Two data points now (Day 8 + Day 11) where strict reading cost A+ quality setups by macro structure.</t>
        </is>
      </c>
    </row>
    <row r="13">
      <c r="A13" s="97" t="n">
        <v>46154</v>
      </c>
      <c r="B13" t="inlineStr">
        <is>
          <t>Day 12</t>
        </is>
      </c>
      <c r="C13" t="n">
        <v>0</v>
      </c>
      <c r="D13" t="n">
        <v>0</v>
      </c>
      <c r="E13" t="n">
        <v>8</v>
      </c>
      <c r="F13" t="inlineStr">
        <is>
          <t>Yes</t>
        </is>
      </c>
      <c r="G13" t="inlineStr">
        <is>
          <t>Hot CPI day (Core MoM 0.4% vs 0.3% cons; Core YoY 2.8% vs 2.7%; Headline YoY 3.8% vs 3.7%). Pre-market flush 712.79 → 706.82 (-0.91%). 15-min macro damaged — lower low confirmed, MAs flattening, Strong Trend Up tested. Per experiment rules (A+ longs require Strong Trend Up — broken) no live A+ available. Treated as paper-trade observation day. SIM bear practice session: SIM-1 -$8 (1-min curl trigger head-fake), SIM-2 +$217 (2-min curl trigger, structural trail, held through -$63 drawdown without panic). SIM session net +$208. Evening drive: discussed adding live shorts to experiment moving forward — confirmed by Aaron Day 13 morning.</t>
        </is>
      </c>
      <c r="H13" t="inlineStr">
        <is>
          <t>BREAKTHROUGH on bear side using own articulated 2-min curl methodology. Structural Trail Stop applies equally on bear side. Bear hypothesis: in violent bear regimes 2-min curl is the cleaner trigger than 1-min (which is too sensitive to countertrend pops). N=1 SIM validation — not yet a rule. Rule change captured Day 13 morning: live shorts added to experiment with same risk parameters as longs (1 contract, 30c stop, pre-trade verbal, daily stop -$75, max 2 trades/day combined). 15-min macro filter for shorts: "damaged/regime in question" sufficient (looser than strict mirror of Strong Trend Down). Tracker logging: same Trade Log rows, Direction column = "Short".</t>
        </is>
      </c>
    </row>
    <row r="14">
      <c r="A14" s="97" t="n">
        <v>46155</v>
      </c>
      <c r="B14" t="inlineStr">
        <is>
          <t>Day 13</t>
        </is>
      </c>
      <c r="C14" t="n">
        <v>2</v>
      </c>
      <c r="D14" t="n">
        <v>-31.2</v>
      </c>
      <c r="E14" t="n">
        <v>7</v>
      </c>
      <c r="F14" t="inlineStr">
        <is>
          <t>Yes (all hard rules); coaching errors flagged on T1 BE move and missed morning A+</t>
        </is>
      </c>
      <c r="G14" t="inlineStr">
        <is>
          <t>Hot PPI 6:30 MT: MoM 1.4% vs 0.5% cons (3x miss), Core MoM 1.0% vs 0.3% (3x miss), Core YoY 5.2% vs 4.3%, PPI YoY 6.0% vs 4.9%. Two consecutive hot inflation prints — disinflation narrative dead. Pre-open flush 712.79 → 706.32 then bounce. Morning A+ formed at 707.50-708 zone (multi-tf slingshot at held 706.32 macro support — Scenario A): MISSED due to coaching error (coach framed "falling knife" instead of "bullish slingshot at support" — anchored on PPI macro narrative). Move ran +$3+ / est +$100-130. Trade 1 (late entry 708.91): +$0.40 net after BE coaching error caught normal pullback (should have used structural trail at 708.45 per Day 10 methodology — would have captured +$70-90 more). Trade 2 (9:09 long, 711C): CLEAN PROCESS REP. Setup matched A+ criteria, executed properly, held structural stop (did NOT move to BE), Stop Hit at 30c. Day 13 net -$31.20. Daily stop -$75 not hit.</t>
        </is>
      </c>
      <c r="H14" t="inlineStr">
        <is>
          <t>TWO COACHING ERRORS FLAGGED — both mine: (1) Anchored on PPI macro narrative, missed the morning's A+ long setup by framing as "falling knife" / "your call" instead of direct execute call. The chart showed exact Scenario A bullish slingshot at held macro support. (2) Premature BE move on T1 — instructed BE at +$17 on a normal 30c pullback when structure had not broken. Per Day 10 Structural Trail Stop methodology, BE on first pullback is the historical leak — exit should be at structural break (708.45), not at BE. PROCESS CHANGE: When chart matches refined A+ criteria (Scenario A/B/C slingshot at structural support), coach gives DIRECT execute call. No more "your call" hedging on confirmed A+ setups. Macro narrative affects management margin (tighter trail, smaller cushion) — NOT entry decision. Structural Trail applies same on both directions. CRITICAL POSITIVE: Aaron handled coaching errors with grace (Mark Douglas "next trade" frame), reset emotionally, executed T2 cleanly with proper structural stop hold. T2 = ideal Stop Hit classification even on a loss. Discipline rep complete: held drawdown -$12 without moving to BE, structural stop did the work. Day 13 marks live shorts added to experiment (no short setup actually triggered today).</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N49"/>
  <sheetViews>
    <sheetView zoomScaleNormal="100" workbookViewId="0">
      <selection activeCell="A1" sqref="A1:N1"/>
    </sheetView>
  </sheetViews>
  <sheetFormatPr baseColWidth="8" defaultColWidth="8.7109375" defaultRowHeight="15"/>
  <cols>
    <col width="12" customWidth="1" style="56" min="1" max="1"/>
    <col width="7" customWidth="1" style="56" min="2" max="3"/>
    <col width="11" customWidth="1" style="56" min="4" max="5"/>
    <col width="13" customWidth="1" style="56" min="6" max="6"/>
    <col width="14" customWidth="1" style="56" min="7" max="9"/>
    <col width="16" customWidth="1" style="56" min="10" max="11"/>
    <col width="14" customWidth="1" style="56" min="12" max="12"/>
    <col width="8" customWidth="1" style="56" min="13" max="13"/>
    <col width="60" customWidth="1" style="56" min="14" max="14"/>
  </cols>
  <sheetData>
    <row r="1" ht="24.75" customHeight="1" s="56">
      <c r="A1" s="62" t="inlineStr">
        <is>
          <t>BEARISH A+ SETUP — PAPER TRADE LOG (Research Phase)</t>
        </is>
      </c>
    </row>
    <row r="2" ht="15" customHeight="1" s="56">
      <c r="A2" s="63" t="inlineStr">
        <is>
          <t>Tracking 'would-have-been' bear trades during the 20-day bullish-only experiment. NO live trades.</t>
        </is>
      </c>
    </row>
    <row r="4" ht="34.5" customHeight="1" s="56">
      <c r="A4" s="36" t="inlineStr">
        <is>
          <t>Date</t>
        </is>
      </c>
      <c r="B4" s="36" t="inlineStr">
        <is>
          <t>Day</t>
        </is>
      </c>
      <c r="C4" s="36" t="inlineStr">
        <is>
          <t>Setup #</t>
        </is>
      </c>
      <c r="D4" s="36" t="inlineStr">
        <is>
          <t>Entry Time</t>
        </is>
      </c>
      <c r="E4" s="36" t="inlineStr">
        <is>
          <t>Exit Time</t>
        </is>
      </c>
      <c r="F4" s="36" t="inlineStr">
        <is>
          <t>Time in Trade (min)</t>
        </is>
      </c>
      <c r="G4" s="36" t="inlineStr">
        <is>
          <t>Underlying Entry</t>
        </is>
      </c>
      <c r="H4" s="36" t="inlineStr">
        <is>
          <t>Underlying Exit</t>
        </is>
      </c>
      <c r="I4" s="36" t="inlineStr">
        <is>
          <t>Strike</t>
        </is>
      </c>
      <c r="J4" s="36" t="inlineStr">
        <is>
          <t>Est. Premium Entry</t>
        </is>
      </c>
      <c r="K4" s="36" t="inlineStr">
        <is>
          <t>Est. Premium Exit</t>
        </is>
      </c>
      <c r="L4" s="36" t="inlineStr">
        <is>
          <t>Hypothetical P/L</t>
        </is>
      </c>
      <c r="M4" s="36" t="inlineStr">
        <is>
          <t>Setup Grade</t>
        </is>
      </c>
      <c r="N4" s="36" t="inlineStr">
        <is>
          <t>Notes</t>
        </is>
      </c>
    </row>
    <row r="5" ht="99.75" customHeight="1" s="56">
      <c r="A5" s="37" t="inlineStr">
        <is>
          <t>2026-04-30</t>
        </is>
      </c>
      <c r="B5" s="37" t="inlineStr">
        <is>
          <t>Day 4</t>
        </is>
      </c>
      <c r="C5" s="37" t="n">
        <v>1</v>
      </c>
      <c r="D5" s="37" t="inlineStr">
        <is>
          <t>08:07</t>
        </is>
      </c>
      <c r="E5" s="37" t="inlineStr">
        <is>
          <t>08:22</t>
        </is>
      </c>
      <c r="F5" s="37" t="n">
        <v>15</v>
      </c>
      <c r="G5" s="38" t="n">
        <v>661</v>
      </c>
      <c r="H5" s="38" t="n">
        <v>658.74</v>
      </c>
      <c r="I5" s="37" t="inlineStr">
        <is>
          <t>QQQ 660P</t>
        </is>
      </c>
      <c r="J5" s="38" t="n">
        <v>0.4</v>
      </c>
      <c r="K5" s="38" t="n">
        <v>1.5</v>
      </c>
      <c r="L5" s="15" t="n">
        <v>108.4</v>
      </c>
      <c r="M5" s="37" t="inlineStr">
        <is>
          <t>A</t>
        </is>
      </c>
      <c r="N5" s="39" t="inlineStr">
        <is>
          <t>TEXTBOOK A+ bearish setup formed during cool-down period after live bull trade stop-out. Major 666 daily rejection earlier, then bounce attempt failed at 661. 1-min stoch yellow at 100, curling down off top. 2-min stoch elevated, rolling. Mirror of bullish A+ setup (curl down at resistance vs curl up at support). Could not take live due to 30-min cool-down rule + no-bear-trades rule. Estimated +$108 hypothetical (~$1.10 premium expansion on 660P from $0.40 to $1.50 as underlying dropped 661→658.50).</t>
        </is>
      </c>
    </row>
    <row r="6">
      <c r="A6" s="100" t="n">
        <v>46154</v>
      </c>
      <c r="B6" s="101" t="inlineStr">
        <is>
          <t>Day 12</t>
        </is>
      </c>
      <c r="C6" s="101" t="n">
        <v>1</v>
      </c>
      <c r="D6" s="101" t="inlineStr">
        <is>
          <t>08:14</t>
        </is>
      </c>
      <c r="E6" s="101" t="inlineStr">
        <is>
          <t>~08:25</t>
        </is>
      </c>
      <c r="F6" s="101" t="n">
        <v>11</v>
      </c>
      <c r="G6" s="102" t="n">
        <v>708</v>
      </c>
      <c r="H6" s="102" t="n">
        <v>708.3099999999999</v>
      </c>
      <c r="I6" s="101" t="inlineStr">
        <is>
          <t>QQQ 708P (SIM)</t>
        </is>
      </c>
      <c r="J6" s="102" t="n">
        <v>1</v>
      </c>
      <c r="K6" s="102" t="n">
        <v>0.92</v>
      </c>
      <c r="L6" s="103" t="n">
        <v>-8</v>
      </c>
      <c r="M6" s="101" t="inlineStr">
        <is>
          <t>B (early entry on 1-min head-fake curl)</t>
        </is>
      </c>
      <c r="N6" s="104" t="inlineStr">
        <is>
          <t>SIM trade — lesson rep. Entered put on 1-min "first hint of curl" (yellow 100→92) while white still climbing. Adverse move, exited at structure -$8 SIM. LESSON: yellow ticking down isn't a confirmed curl when white still climbing toward it. 1-min is head-fake prone in volatile bear regime. HYPOTHESIS FORMED: 2-min curl is the cleaner trigger for shorts in volatile bear regimes. Tested immediately on SIM-2.</t>
        </is>
      </c>
    </row>
    <row r="7">
      <c r="A7" s="100" t="n">
        <v>46154</v>
      </c>
      <c r="B7" s="101" t="inlineStr">
        <is>
          <t>Day 12</t>
        </is>
      </c>
      <c r="C7" s="101" t="n">
        <v>2</v>
      </c>
      <c r="D7" s="101" t="inlineStr">
        <is>
          <t>08:56</t>
        </is>
      </c>
      <c r="E7" s="101" t="inlineStr">
        <is>
          <t>~09:30 (had to leave for work)</t>
        </is>
      </c>
      <c r="F7" s="101" t="n">
        <v>34</v>
      </c>
      <c r="G7" s="102" t="n">
        <v>705</v>
      </c>
      <c r="H7" s="102" t="n">
        <v>702</v>
      </c>
      <c r="I7" s="101" t="inlineStr">
        <is>
          <t>QQQ 705P (SIM)</t>
        </is>
      </c>
      <c r="J7" s="102" t="n">
        <v>1.5</v>
      </c>
      <c r="K7" s="102" t="n">
        <v>3.67</v>
      </c>
      <c r="L7" s="103" t="n">
        <v>217</v>
      </c>
      <c r="M7" s="101" t="inlineStr">
        <is>
          <t>A+ (Bear, Scenario A on 2-min curl)</t>
        </is>
      </c>
      <c r="N7" s="104" t="inlineStr">
        <is>
          <t>BREAKTHROUGH SIM TRADE. Entered on confirmed 2-min curl down at resistance after bounce. Held through -$63 drawdown (from +$125 to +$62) without panic-exit. Trailed structural stops: 704.55 → 703.70 → 703.55 → 702.60. 15-min red 200 EMA broke during the move. Closed +$217 when had to leave for work. Validates 2-min curl trigger hypothesis on volatile bear regime. Structural Trail Stop methodology applies same on bear side as bull side. SIM session net (SIM-1 + SIM-2) = +$208. Bear-side rep on historically-losing direction. Decision Day 13: live shorts added to experiment.</t>
        </is>
      </c>
    </row>
    <row r="8" ht="15" customHeight="1" s="56">
      <c r="A8" s="64" t="inlineStr">
        <is>
          <t>BEARISH PAPER METRICS (Updates as you log more setups)</t>
        </is>
      </c>
    </row>
    <row r="9" ht="15" customHeight="1" s="56">
      <c r="A9" s="40" t="inlineStr">
        <is>
          <t>Total Bear Setups Logged</t>
        </is>
      </c>
      <c r="B9" s="41">
        <f>COUNTA(A5:A50)-COUNTBLANK(A5:A50)</f>
        <v/>
      </c>
    </row>
    <row r="10" ht="15" customHeight="1" s="56">
      <c r="A10" s="40" t="inlineStr">
        <is>
          <t>Total Hypothetical P/L</t>
        </is>
      </c>
      <c r="B10" s="42">
        <f>SUM(L5:L50)</f>
        <v/>
      </c>
    </row>
    <row r="11" ht="15" customHeight="1" s="56">
      <c r="A11" s="40" t="inlineStr">
        <is>
          <t>Avg Hypothetical P/L per Setup</t>
        </is>
      </c>
      <c r="B11" s="42">
        <f>IFERROR(B10/B9,0)</f>
        <v/>
      </c>
    </row>
    <row r="12" ht="15" customHeight="1" s="56">
      <c r="A12" s="40" t="inlineStr">
        <is>
          <t>Hypothetical Wins (&gt;$5)</t>
        </is>
      </c>
      <c r="B12" s="41">
        <f>COUNTIF(L5:L50,"&gt;5")</f>
        <v/>
      </c>
    </row>
    <row r="13" ht="15" customHeight="1" s="56">
      <c r="A13" s="40" t="inlineStr">
        <is>
          <t>Hypothetical Losses (&lt;-$5)</t>
        </is>
      </c>
      <c r="B13" s="41">
        <f>COUNTIF(L5:L50,"&lt;-5")</f>
        <v/>
      </c>
    </row>
    <row r="14" ht="15" customHeight="1" s="56">
      <c r="A14" s="40" t="inlineStr">
        <is>
          <t>Hypothetical Win Rate</t>
        </is>
      </c>
      <c r="B14" s="43">
        <f>IFERROR(B12/(B12+B13),0)</f>
        <v/>
      </c>
    </row>
    <row r="17" ht="15" customHeight="1" s="56">
      <c r="A17" s="64" t="inlineStr">
        <is>
          <t>A+ BEARISH SETUP CRITERIA (Mirror of Bullish A+)</t>
        </is>
      </c>
    </row>
    <row r="19" ht="15" customHeight="1" s="56">
      <c r="A19" s="61" t="inlineStr">
        <is>
          <t>MACRO CONDITIONS (15-min)</t>
        </is>
      </c>
    </row>
    <row r="20" ht="15" customHeight="1" s="56">
      <c r="A20" s="28" t="inlineStr">
        <is>
          <t>•</t>
        </is>
      </c>
      <c r="B20" t="inlineStr">
        <is>
          <t>Major rejection candle at resistance (e.g., gap-up rejected, ATH rejected)</t>
        </is>
      </c>
    </row>
    <row r="21" ht="15" customHeight="1" s="56">
      <c r="A21" s="28" t="inlineStr">
        <is>
          <t>•</t>
        </is>
      </c>
      <c r="B21" t="inlineStr">
        <is>
          <t>15-min stoch yellow rolling down from 100 (curling off top)</t>
        </is>
      </c>
    </row>
    <row r="22" ht="15" customHeight="1" s="56">
      <c r="A22" s="28" t="inlineStr">
        <is>
          <t>•</t>
        </is>
      </c>
      <c r="B22" t="inlineStr">
        <is>
          <t>Price below recent swing high, attempting bounce that fails</t>
        </is>
      </c>
    </row>
    <row r="23" ht="15" customHeight="1" s="56">
      <c r="A23" s="28" t="inlineStr">
        <is>
          <t>•</t>
        </is>
      </c>
      <c r="B23" t="inlineStr">
        <is>
          <t>Lower high forming after the rejection</t>
        </is>
      </c>
    </row>
    <row r="25" ht="15" customHeight="1" s="56">
      <c r="A25" s="61" t="inlineStr">
        <is>
          <t>ENTRY TRIGGER (1-min) — MIRROR OF BULLISH</t>
        </is>
      </c>
    </row>
    <row r="26" ht="15" customHeight="1" s="56">
      <c r="A26" s="28" t="inlineStr">
        <is>
          <t>•</t>
        </is>
      </c>
      <c r="B26" t="inlineStr">
        <is>
          <t>1-min stoch yellow at 100 (or near 100)</t>
        </is>
      </c>
    </row>
    <row r="27" ht="15" customHeight="1" s="56">
      <c r="A27" s="28" t="inlineStr">
        <is>
          <t>•</t>
        </is>
      </c>
      <c r="B27" t="inlineStr">
        <is>
          <t>Yellow curls DOWN off the top</t>
        </is>
      </c>
    </row>
    <row r="28" ht="15" customHeight="1" s="56">
      <c r="A28" s="28" t="inlineStr">
        <is>
          <t>•</t>
        </is>
      </c>
      <c r="B28" t="inlineStr">
        <is>
          <t>Enter on the curl, BEFORE yellow crosses below white</t>
        </is>
      </c>
    </row>
    <row r="29" ht="15" customHeight="1" s="56">
      <c r="A29" s="28" t="inlineStr">
        <is>
          <t>•</t>
        </is>
      </c>
      <c r="B29" t="inlineStr">
        <is>
          <t>2-min stoch supportive (yellow elevated, rolling down)</t>
        </is>
      </c>
    </row>
    <row r="31" ht="15" customHeight="1" s="56">
      <c r="A31" s="61" t="inlineStr">
        <is>
          <t>LOCATION REQUIREMENTS</t>
        </is>
      </c>
    </row>
    <row r="32" ht="15" customHeight="1" s="56">
      <c r="A32" s="28" t="inlineStr">
        <is>
          <t>•</t>
        </is>
      </c>
      <c r="B32" t="inlineStr">
        <is>
          <t>Price at clear resistance (failed bounce from major rejection)</t>
        </is>
      </c>
    </row>
    <row r="33" ht="15" customHeight="1" s="56">
      <c r="A33" s="28" t="inlineStr">
        <is>
          <t>•</t>
        </is>
      </c>
      <c r="B33" t="inlineStr">
        <is>
          <t>Bounce stalls at MA cluster, prior swing high, or 50% retrace of breakdown</t>
        </is>
      </c>
    </row>
    <row r="34" ht="15" customHeight="1" s="56">
      <c r="A34" s="28" t="inlineStr">
        <is>
          <t>•</t>
        </is>
      </c>
      <c r="B34" t="inlineStr">
        <is>
          <t>Clean rejection candle structure on 1-min</t>
        </is>
      </c>
    </row>
    <row r="36" ht="15" customHeight="1" s="56">
      <c r="A36" s="61" t="inlineStr">
        <is>
          <t>RISK MANAGEMENT</t>
        </is>
      </c>
    </row>
    <row r="37" ht="15" customHeight="1" s="56">
      <c r="A37" s="28" t="inlineStr">
        <is>
          <t>•</t>
        </is>
      </c>
      <c r="B37" t="inlineStr">
        <is>
          <t>30-cent premium stop (same rule as bulls)</t>
        </is>
      </c>
    </row>
    <row r="38" ht="15" customHeight="1" s="56">
      <c r="A38" s="28" t="inlineStr">
        <is>
          <t>•</t>
        </is>
      </c>
      <c r="B38" t="inlineStr">
        <is>
          <t>Underlying stop: just above the bounce high</t>
        </is>
      </c>
    </row>
    <row r="39" ht="15" customHeight="1" s="56">
      <c r="A39" s="28" t="inlineStr">
        <is>
          <t>•</t>
        </is>
      </c>
      <c r="B39" t="inlineStr">
        <is>
          <t>1 contract only</t>
        </is>
      </c>
    </row>
    <row r="41" ht="15" customHeight="1" s="56">
      <c r="A41" s="61" t="inlineStr">
        <is>
          <t>TARGETS</t>
        </is>
      </c>
    </row>
    <row r="42" ht="15" customHeight="1" s="56">
      <c r="A42" s="28" t="inlineStr">
        <is>
          <t>•</t>
        </is>
      </c>
      <c r="B42" t="inlineStr">
        <is>
          <t>T1: Back to recent swing low</t>
        </is>
      </c>
    </row>
    <row r="43" ht="15" customHeight="1" s="56">
      <c r="A43" s="28" t="inlineStr">
        <is>
          <t>•</t>
        </is>
      </c>
      <c r="B43" t="inlineStr">
        <is>
          <t>T2: Extension below swing low</t>
        </is>
      </c>
    </row>
    <row r="44" ht="15" customHeight="1" s="56">
      <c r="A44" s="28" t="inlineStr">
        <is>
          <t>•</t>
        </is>
      </c>
      <c r="B44" t="inlineStr">
        <is>
          <t>Hold for $0.60+ premium move minimum</t>
        </is>
      </c>
    </row>
    <row r="46" ht="15" customHeight="1" s="56">
      <c r="A46" s="61" t="inlineStr">
        <is>
          <t>INVALIDATION</t>
        </is>
      </c>
    </row>
    <row r="47" ht="15" customHeight="1" s="56">
      <c r="A47" s="28" t="inlineStr">
        <is>
          <t>•</t>
        </is>
      </c>
      <c r="B47" t="inlineStr">
        <is>
          <t>1-min yellow recrosses up through white = exit</t>
        </is>
      </c>
    </row>
    <row r="48" ht="15" customHeight="1" s="56">
      <c r="A48" s="28" t="inlineStr">
        <is>
          <t>•</t>
        </is>
      </c>
      <c r="B48" t="inlineStr">
        <is>
          <t>Price reclaims the bounce high = setup failed</t>
        </is>
      </c>
    </row>
    <row r="49" ht="15" customHeight="1" s="56">
      <c r="A49" s="28" t="inlineStr">
        <is>
          <t>•</t>
        </is>
      </c>
      <c r="B49" t="inlineStr">
        <is>
          <t>5-min stoch yellow crosses up = trend reversing</t>
        </is>
      </c>
    </row>
  </sheetData>
  <mergeCells count="10">
    <mergeCell ref="A31:N31"/>
    <mergeCell ref="A2:N2"/>
    <mergeCell ref="A8:F8"/>
    <mergeCell ref="A25:N25"/>
    <mergeCell ref="A41:N41"/>
    <mergeCell ref="A19:N19"/>
    <mergeCell ref="A17:F17"/>
    <mergeCell ref="A46:N46"/>
    <mergeCell ref="A36:N36"/>
    <mergeCell ref="A1:N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G8"/>
  <sheetViews>
    <sheetView tabSelected="1" workbookViewId="0">
      <selection activeCell="A1" sqref="A1"/>
    </sheetView>
  </sheetViews>
  <sheetFormatPr baseColWidth="8" defaultRowHeight="15"/>
  <cols>
    <col width="12.7109375" customWidth="1" style="56" min="1" max="1"/>
    <col width="6.7109375" customWidth="1" style="56" min="2" max="2"/>
    <col width="10.7109375" customWidth="1" style="56" min="3" max="3"/>
    <col width="42.7109375" customWidth="1" style="56" min="4" max="5"/>
    <col width="14.7109375" customWidth="1" style="56" min="6" max="6"/>
    <col width="42.7109375" customWidth="1" style="56" min="7" max="7"/>
  </cols>
  <sheetData>
    <row r="1" ht="18.75" customHeight="1" s="56">
      <c r="A1" s="66" t="inlineStr">
        <is>
          <t>B+ Skipped Setups - Discipline Log</t>
        </is>
      </c>
    </row>
    <row r="2">
      <c r="A2" s="68" t="inlineStr">
        <is>
          <t>B+ tier setups correctly skipped per A+ filter. Hypothetical outcomes for Day 20 retrospective on filter calibration.</t>
        </is>
      </c>
    </row>
    <row r="3">
      <c r="A3" s="69" t="inlineStr">
        <is>
          <t>Date</t>
        </is>
      </c>
      <c r="B3" s="69" t="inlineStr">
        <is>
          <t>Day</t>
        </is>
      </c>
      <c r="C3" s="69" t="inlineStr">
        <is>
          <t>Time (MT)</t>
        </is>
      </c>
      <c r="D3" s="69" t="inlineStr">
        <is>
          <t>Setup Description</t>
        </is>
      </c>
      <c r="E3" s="69" t="inlineStr">
        <is>
          <t>Skip Reason</t>
        </is>
      </c>
      <c r="F3" s="69" t="inlineStr">
        <is>
          <t>Hyp. Entry Premium</t>
        </is>
      </c>
      <c r="G3" s="69" t="inlineStr">
        <is>
          <t>Hypothetical Result</t>
        </is>
      </c>
    </row>
    <row r="4">
      <c r="A4" s="52" t="n">
        <v>46147</v>
      </c>
      <c r="B4" t="n">
        <v>7</v>
      </c>
      <c r="C4" s="70" t="n">
        <v>0.3472222222222222</v>
      </c>
      <c r="D4" s="71" t="inlineStr">
        <is>
          <t>1-min stoch curl at 1-min 21 EMA (679.66)</t>
        </is>
      </c>
      <c r="E4" s="71" t="inlineStr">
        <is>
          <t>5-min stoch not reset - single tf only</t>
        </is>
      </c>
      <c r="F4" t="inlineStr">
        <is>
          <t>1.00 (est)</t>
        </is>
      </c>
      <c r="G4" s="71" t="inlineStr">
        <is>
          <t>Move ~$1.74 underlying / est. +$50-70</t>
        </is>
      </c>
    </row>
    <row r="5">
      <c r="A5" s="52" t="n">
        <v>46147</v>
      </c>
      <c r="B5" t="n">
        <v>7</v>
      </c>
      <c r="C5" s="70" t="n">
        <v>0.3611111111111111</v>
      </c>
      <c r="D5" s="71" t="inlineStr">
        <is>
          <t>1-min reset at 1-min 9 EMA (680.50)</t>
        </is>
      </c>
      <c r="E5" s="71" t="inlineStr">
        <is>
          <t>Same - single tf only</t>
        </is>
      </c>
      <c r="F5" t="inlineStr">
        <is>
          <t>1.05 (est)</t>
        </is>
      </c>
      <c r="G5" s="71" t="inlineStr">
        <is>
          <t>Setup chopped, marginal</t>
        </is>
      </c>
    </row>
    <row r="6" ht="30" customHeight="1" s="56">
      <c r="A6" s="52" t="n">
        <v>46148</v>
      </c>
      <c r="B6" t="n">
        <v>8</v>
      </c>
      <c r="C6" s="70" t="n">
        <v>0.3354166666666666</v>
      </c>
      <c r="D6" s="71" t="inlineStr">
        <is>
          <t>QQQ 1-min/2-min reset at 688 with 5-min stoch at 89</t>
        </is>
      </c>
      <c r="E6" s="71" t="inlineStr">
        <is>
          <t>Coach applied stricter 5-min reset filter; setup met written criteria</t>
        </is>
      </c>
      <c r="G6" s="71" t="inlineStr">
        <is>
          <t>Move ~$2 underlying / est. +$80-100</t>
        </is>
      </c>
    </row>
    <row r="7">
      <c r="A7" s="97" t="n">
        <v>46153</v>
      </c>
      <c r="B7" t="n">
        <v>11</v>
      </c>
      <c r="C7" s="70" t="n">
        <v>0.3555555555555556</v>
      </c>
      <c r="D7" s="71" t="inlineStr">
        <is>
          <t>QQQ 1-min/2-min curl at 15-min 50 EMA (709.78) after deep flush — 15-min stoch reset to 9.36, multi-tf alignment</t>
        </is>
      </c>
      <c r="E7" s="71" t="inlineStr">
        <is>
          <t>Coach applied strict 5-min "climbing" filter (yellow at 0, white declining). Macro was A+ quality; checklist read was over-strict.</t>
        </is>
      </c>
      <c r="G7" s="71" t="inlineStr">
        <is>
          <t>Move ran 709.78 → 713.34 (+$3.56 underlying) in ~22 min. Est. +$120-180 on 0DTE near-ATM call with structural trail.</t>
        </is>
      </c>
    </row>
    <row r="8">
      <c r="A8" s="97" t="n">
        <v>46155</v>
      </c>
      <c r="B8" t="n">
        <v>13</v>
      </c>
      <c r="C8" s="70" t="inlineStr">
        <is>
          <t>07:50:00</t>
        </is>
      </c>
      <c r="D8" s="71" t="inlineStr">
        <is>
          <t>QQQ 1-min/2-min curl from floor with 5-min in Scenario A slingshot (yellow at 0, white declining at 58) at held macro support 706.32 (post-PPI flush low). Multi-tf alignment forming for bullish slingshot off held 15-min red 200 area.</t>
        </is>
      </c>
      <c r="E8" s="71" t="inlineStr">
        <is>
          <t>COACHING ERROR — coach framed setup as "falling knife / continuation, not setup" at 7:46 and 7:49 due to anchoring on hot PPI bearish macro narrative. At 7:53 setup belatedly identified but framed as "your call" instead of direct execute. By 7:56 framed as "too late to enter."</t>
        </is>
      </c>
      <c r="F8" t="inlineStr">
        <is>
          <t>~$1.85-2.00 (est for near-ATM 707C)</t>
        </is>
      </c>
      <c r="G8" s="71" t="inlineStr">
        <is>
          <t>Move ran 707.50 → 710.70 = +$3.20 underlying / est +$100-130 on 0DTE near-ATM call with structural trail. CRITICAL ENTRY: this is the entry Aaron marked with green arrows post-fact on his own chart at ~707.50-708 zone. Pattern recognition was Aaron's; coaching loop blocked execution.</t>
        </is>
      </c>
    </row>
  </sheetData>
  <mergeCells count="2">
    <mergeCell ref="A2:G2"/>
    <mergeCell ref="A1:G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2026-04-28T14:17:35Z</dcterms:created>
  <dcterms:modified xmlns:dcterms="http://purl.org/dc/terms/" xmlns:xsi="http://www.w3.org/2001/XMLSchema-instance" xsi:type="dcterms:W3CDTF">2026-05-13T16:02:54Z</dcterms:modified>
  <cp:lastModifiedBy>Aaron Campbell</cp:lastModifiedBy>
  <cp:revision>0</cp:revision>
</cp:coreProperties>
</file>